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_rels/sheet6.xml.rels" ContentType="application/vnd.openxmlformats-package.relationships+xml"/>
  <Override PartName="/xl/worksheets/_rels/sheet12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9.xml" ContentType="application/vnd.openxmlformats-officedocument.spreadsheetml.worksheet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worksheets/sheet13.xml" ContentType="application/vnd.openxmlformats-officedocument.spreadsheetml.worksheet+xml"/>
  <Override PartName="/xl/worksheets/sheet2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vmlDrawing3.vml" ContentType="application/vnd.openxmlformats-officedocument.vmlDrawing"/>
  <Override PartName="/xl/drawings/vmlDrawing1.vml" ContentType="application/vnd.openxmlformats-officedocument.vmlDrawing"/>
  <Override PartName="/xl/drawings/drawing2.xml" ContentType="application/vnd.openxmlformats-officedocument.drawing+xml"/>
  <Override PartName="/xl/drawings/vmlDrawing4.vml" ContentType="application/vnd.openxmlformats-officedocument.vmlDrawing"/>
  <Override PartName="/xl/drawings/vmlDrawing2.vml" ContentType="application/vnd.openxmlformats-officedocument.vmlDrawing"/>
  <Override PartName="/xl/drawings/drawing3.xml" ContentType="application/vnd.openxmlformats-officedocument.drawing+xml"/>
  <Override PartName="/xl/drawings/vmlDrawing5.vml" ContentType="application/vnd.openxmlformats-officedocument.vmlDrawing"/>
  <Override PartName="/xl/drawings/drawing4.xml" ContentType="application/vnd.openxmlformats-officedocument.drawing+xml"/>
  <Override PartName="/xl/drawings/vmlDrawing6.vml" ContentType="application/vnd.openxmlformats-officedocument.vmlDrawing"/>
  <Override PartName="/xl/drawings/drawing5.xml" ContentType="application/vnd.openxmlformats-officedocument.drawing+xml"/>
  <Override PartName="/xl/comments2.xml" ContentType="application/vnd.openxmlformats-officedocument.spreadsheetml.comments+xml"/>
  <Override PartName="/xl/_rels/workbook.xml.rels" ContentType="application/vnd.openxmlformats-package.relationship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12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4" activeTab="8"/>
  </bookViews>
  <sheets>
    <sheet name="Souhrnný AKCE_TABORY" sheetId="1" state="hidden" r:id="rId3"/>
    <sheet name="Formulář  AKCE" sheetId="2" state="hidden" r:id="rId4"/>
    <sheet name="Seznam_do_35_účastníků" sheetId="3" state="hidden" r:id="rId5"/>
    <sheet name="Seznam_do_70_účastníků" sheetId="4" state="hidden" r:id="rId6"/>
    <sheet name="Rozpocet akce" sheetId="5" state="visible" r:id="rId7"/>
    <sheet name="pokyny" sheetId="6" state="hidden" r:id="rId8"/>
    <sheet name="Rozpocet tábora" sheetId="7" state="hidden" r:id="rId9"/>
    <sheet name="Seznam účastníků" sheetId="8" state="visible" r:id="rId10"/>
    <sheet name="Přehled o vybraných poplatcích" sheetId="9" state="visible" r:id="rId11"/>
    <sheet name="Soupis výdajů" sheetId="10" state="visible" r:id="rId12"/>
    <sheet name="Report z akce" sheetId="11" state="visible" r:id="rId13"/>
    <sheet name="Zhodnocení" sheetId="12" state="hidden" r:id="rId14"/>
    <sheet name="Vrátit" sheetId="13" state="visible" r:id="rId15"/>
  </sheets>
  <definedNames>
    <definedName function="false" hidden="false" localSheetId="7" name="_xlnm.Print_Area" vbProcedure="false">'Seznam účastníků'!$A$1:$F$44</definedName>
    <definedName function="false" hidden="false" name="Excel_BuiltIn_Print_Area" vbProcedure="false">'Report z akce'!$B$17</definedName>
    <definedName function="false" hidden="false" name="Excel_BuiltIn_Print_Area_6_1" vbProcedure="false">('Seznam účastníků'!$A:$F~'Seznam účastníků'!$A:$F)</definedName>
    <definedName function="false" hidden="false" name="_1Excel_BuiltIn_Print_Area_2" vbProcedure="false">'Seznam účastníků'!$A:$F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12" authorId="0">
      <text>
        <r>
          <rPr>
            <sz val="10"/>
            <rFont val="Arial"/>
            <family val="2"/>
          </rPr>
          <t xml:space="preserve">Vyplnit účel daru dle žádosti
Např. Doprava,ubytování na akce - 14 x week, cca 15 deti, 7 x 1den cca 20 deti
</t>
        </r>
        <r>
          <rPr>
            <b val="true"/>
            <sz val="10"/>
            <color rgb="FF000000"/>
            <rFont val="Arial CE"/>
            <family val="2"/>
            <charset val="238"/>
          </rPr>
          <t xml:space="preserve">!!! 
POZOR - Povolena tolerance jsou max 3 akce a 10 účastníků oproti žádosti
!!!!</t>
        </r>
      </text>
    </comment>
    <comment ref="E10" authorId="0">
      <text>
        <r>
          <rPr>
            <sz val="10"/>
            <rFont val="Arial"/>
            <family val="2"/>
          </rPr>
          <t xml:space="preserve">Zde (E10) vyplnit přidělenou částku od MHMP na projekt
</t>
        </r>
        <r>
          <rPr>
            <sz val="10"/>
            <color rgb="FF000000"/>
            <rFont val="Arial CE"/>
            <family val="2"/>
            <charset val="238"/>
          </rPr>
          <t xml:space="preserve">
</t>
        </r>
      </text>
    </comment>
    <comment ref="E11" authorId="0">
      <text>
        <r>
          <rPr>
            <sz val="10"/>
            <rFont val="Arial"/>
            <family val="2"/>
          </rPr>
          <t xml:space="preserve">Vyplnit název skupiny
</t>
        </r>
      </text>
    </comment>
    <comment ref="G3" authorId="0">
      <text>
        <r>
          <rPr>
            <sz val="10"/>
            <rFont val="Arial"/>
            <family val="2"/>
          </rPr>
          <t xml:space="preserve">Vyplnit číslo projektu
(čtyřmístné číslo) začínající
2 - akce ve volném čase(L.a Z. tábory,víkendy)
3 - veřejné akce</t>
        </r>
      </text>
    </comment>
  </commentList>
</comments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8" authorId="0">
      <text>
        <r>
          <rPr>
            <sz val="10"/>
            <rFont val="Arial"/>
            <family val="2"/>
          </rPr>
          <t xml:space="preserve">Jméno pořádající skupiny-pokud je vyplněno v seznamu, doplní se samo
</t>
        </r>
      </text>
    </comment>
    <comment ref="B14" authorId="0">
      <text>
        <r>
          <rPr>
            <sz val="10"/>
            <rFont val="Arial"/>
            <family val="2"/>
          </rPr>
          <t xml:space="preserve">Číslo dokladu tak, jak je uvedeno ve skupinové evidenci (např. V-48)
</t>
        </r>
      </text>
    </comment>
    <comment ref="C14" authorId="0">
      <text>
        <r>
          <rPr>
            <sz val="10"/>
            <rFont val="Arial"/>
            <family val="2"/>
          </rPr>
          <t xml:space="preserve">Datum, kdy byla platba zaúčtována v pkl. deníku
</t>
        </r>
      </text>
    </comment>
    <comment ref="D8" authorId="0">
      <text>
        <r>
          <rPr>
            <sz val="10"/>
            <rFont val="Arial"/>
            <family val="2"/>
          </rPr>
          <t xml:space="preserve">pokud je vyplněno v seznamu, doplní se samo
</t>
        </r>
      </text>
    </comment>
    <comment ref="D10" authorId="0">
      <text>
        <r>
          <rPr>
            <sz val="10"/>
            <rFont val="Arial"/>
            <family val="2"/>
          </rPr>
          <t xml:space="preserve">pokud je vyplněno v seznamu, doplní se samo
</t>
        </r>
      </text>
    </comment>
    <comment ref="F7" authorId="0">
      <text>
        <r>
          <rPr>
            <sz val="10"/>
            <rFont val="Arial"/>
            <family val="2"/>
          </rPr>
          <t xml:space="preserve">Pokud se jedna o TABOR, vyplnte pismeno T</t>
        </r>
      </text>
    </comment>
    <comment ref="G8" authorId="0">
      <text>
        <r>
          <rPr>
            <sz val="10"/>
            <rFont val="Arial"/>
            <family val="2"/>
          </rPr>
          <t xml:space="preserve">pokud je vyplněno v seznamu, doplní se samo
</t>
        </r>
      </text>
    </comment>
    <comment ref="H14" authorId="0">
      <text>
        <r>
          <rPr>
            <sz val="10"/>
            <rFont val="Arial"/>
            <family val="2"/>
          </rPr>
          <t xml:space="preserve">Název (popis) zboží
</t>
        </r>
      </text>
    </comment>
    <comment ref="I41" authorId="0">
      <text>
        <r>
          <rPr>
            <sz val="10"/>
            <rFont val="Arial"/>
            <family val="2"/>
          </rPr>
          <t xml:space="preserve">Dotace použita na akci
Nesmí být větší jak celkový součet hodnot snizeny o sumu  ucastnickych poplatku.
Dále plati, ze limit je 50 Kc na osobu a den na tabor, ostatní akce max 100 Kc na os a den
</t>
        </r>
      </text>
    </comment>
    <comment ref="J10" authorId="0">
      <text>
        <r>
          <rPr>
            <sz val="10"/>
            <rFont val="Arial"/>
            <family val="2"/>
          </rPr>
          <t xml:space="preserve">pokud je vyplněno v seznamu, doplní se samo
</t>
        </r>
      </text>
    </comment>
    <comment ref="J13" authorId="0">
      <text>
        <r>
          <rPr>
            <sz val="10"/>
            <rFont val="Arial"/>
            <family val="2"/>
          </rPr>
          <t xml:space="preserve">Kontrolni počet položek se správně vyplněnými čísly
</t>
        </r>
      </text>
    </comment>
  </commentList>
</comments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2" authorId="0">
      <text>
        <r>
          <rPr>
            <sz val="10"/>
            <rFont val="Arial"/>
            <family val="2"/>
          </rPr>
          <t xml:space="preserve">Název skupiny</t>
        </r>
      </text>
    </comment>
    <comment ref="C3" authorId="0">
      <text>
        <r>
          <rPr>
            <sz val="10"/>
            <rFont val="Arial"/>
            <family val="2"/>
          </rPr>
          <t xml:space="preserve">Adresa skupiny
</t>
        </r>
      </text>
    </comment>
    <comment ref="C4" authorId="0">
      <text>
        <r>
          <rPr>
            <sz val="10"/>
            <rFont val="Arial"/>
            <family val="2"/>
          </rPr>
          <t xml:space="preserve">Název, pod kterým je akce uvedena ve vyúčtování
</t>
        </r>
      </text>
    </comment>
    <comment ref="C5" authorId="0">
      <text>
        <r>
          <rPr>
            <sz val="10"/>
            <rFont val="Arial"/>
            <family val="2"/>
          </rPr>
          <t xml:space="preserve">Pocatek Akce</t>
        </r>
      </text>
    </comment>
    <comment ref="C6" authorId="0">
      <text>
        <r>
          <rPr>
            <sz val="10"/>
            <rFont val="Arial"/>
            <family val="2"/>
          </rPr>
          <t xml:space="preserve">Místo konání akce</t>
        </r>
      </text>
    </comment>
    <comment ref="D5" authorId="0">
      <text>
        <r>
          <rPr>
            <sz val="10"/>
            <rFont val="Arial"/>
            <family val="2"/>
          </rPr>
          <t xml:space="preserve">Konec Akce</t>
        </r>
      </text>
    </comment>
  </commentList>
</comments>
</file>

<file path=xl/comments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2" authorId="0">
      <text>
        <r>
          <rPr>
            <sz val="10"/>
            <rFont val="Arial"/>
            <family val="2"/>
          </rPr>
          <t xml:space="preserve">Název skupiny</t>
        </r>
      </text>
    </comment>
    <comment ref="C3" authorId="0">
      <text>
        <r>
          <rPr>
            <sz val="10"/>
            <rFont val="Arial"/>
            <family val="2"/>
          </rPr>
          <t xml:space="preserve">Adresa skupiny
</t>
        </r>
      </text>
    </comment>
    <comment ref="C4" authorId="0">
      <text>
        <r>
          <rPr>
            <sz val="10"/>
            <rFont val="Arial"/>
            <family val="2"/>
          </rPr>
          <t xml:space="preserve">Název, pod kterým je akce uvedena ve vyúčtování
</t>
        </r>
      </text>
    </comment>
    <comment ref="C5" authorId="0">
      <text>
        <r>
          <rPr>
            <sz val="10"/>
            <rFont val="Arial"/>
            <family val="2"/>
          </rPr>
          <t xml:space="preserve">Pocatek Akce</t>
        </r>
      </text>
    </comment>
    <comment ref="C6" authorId="0">
      <text>
        <r>
          <rPr>
            <sz val="10"/>
            <rFont val="Arial"/>
            <family val="2"/>
          </rPr>
          <t xml:space="preserve">Místo konání akce</t>
        </r>
      </text>
    </comment>
    <comment ref="D5" authorId="0">
      <text>
        <r>
          <rPr>
            <sz val="10"/>
            <rFont val="Arial"/>
            <family val="2"/>
          </rPr>
          <t xml:space="preserve">Konec Akce</t>
        </r>
      </text>
    </comment>
  </commentList>
</comments>
</file>

<file path=xl/comments5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8" authorId="0">
      <text>
        <r>
          <rPr>
            <sz val="10"/>
            <rFont val="Arial"/>
            <family val="2"/>
          </rPr>
          <t xml:space="preserve">Jméno pořádající skupiny-pokud je vyplněno v seznamu, doplní se samo
</t>
        </r>
      </text>
    </comment>
    <comment ref="D8" authorId="0">
      <text>
        <r>
          <rPr>
            <sz val="10"/>
            <rFont val="Arial"/>
            <family val="2"/>
          </rPr>
          <t xml:space="preserve">pokud je vyplněno v seznamu, doplní se samo
</t>
        </r>
      </text>
    </comment>
    <comment ref="F7" authorId="0">
      <text>
        <r>
          <rPr>
            <sz val="10"/>
            <rFont val="Arial"/>
            <family val="2"/>
          </rPr>
          <t xml:space="preserve">Pokud se jedna o TABOR, vyplnte pismeno T</t>
        </r>
      </text>
    </comment>
    <comment ref="G8" authorId="0">
      <text>
        <r>
          <rPr>
            <sz val="10"/>
            <rFont val="Arial"/>
            <family val="2"/>
          </rPr>
          <t xml:space="preserve">pokud je vyplněno v seznamu, doplní se samo
</t>
        </r>
      </text>
    </comment>
  </commentList>
</comments>
</file>

<file path=xl/comments1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E9" authorId="0">
      <text>
        <r>
          <rPr>
            <sz val="10"/>
            <rFont val="Arial"/>
            <family val="2"/>
          </rPr>
          <t xml:space="preserve">Vyplní se sama z formuláře 1
</t>
        </r>
        <r>
          <rPr>
            <sz val="8"/>
            <color rgb="FF000000"/>
            <rFont val="Arial CE"/>
            <family val="2"/>
            <charset val="238"/>
          </rPr>
          <t xml:space="preserve">;</t>
        </r>
      </text>
    </comment>
  </commentList>
</comments>
</file>

<file path=xl/sharedStrings.xml><?xml version="1.0" encoding="utf-8"?>
<sst xmlns="http://schemas.openxmlformats.org/spreadsheetml/2006/main" count="380" uniqueCount="243">
  <si>
    <t xml:space="preserve">V y ú č t o v á n í</t>
  </si>
  <si>
    <t xml:space="preserve">smlouvy č. DAG/61/03/001435/2009 o poskytnutí finančních prostředků
Příloha k vyúčtování akcí a táborů</t>
  </si>
  <si>
    <t xml:space="preserve">Název pořadatele (skupiny):</t>
  </si>
  <si>
    <t xml:space="preserve">Šán</t>
  </si>
  <si>
    <t xml:space="preserve">Účel daru:</t>
  </si>
  <si>
    <t xml:space="preserve">Poř. č. akce </t>
  </si>
  <si>
    <t xml:space="preserve">Datum
začátek</t>
  </si>
  <si>
    <t xml:space="preserve">Datum 
konec</t>
  </si>
  <si>
    <t xml:space="preserve">Název</t>
  </si>
  <si>
    <t xml:space="preserve">Čerpaná
Částka</t>
  </si>
  <si>
    <t xml:space="preserve">1.</t>
  </si>
  <si>
    <t xml:space="preserve">Prastaré legendy promlouvají</t>
  </si>
  <si>
    <t xml:space="preserve">2.</t>
  </si>
  <si>
    <t xml:space="preserve">3.</t>
  </si>
  <si>
    <t xml:space="preserve">4.</t>
  </si>
  <si>
    <t xml:space="preserve">5.</t>
  </si>
  <si>
    <t xml:space="preserve">6.</t>
  </si>
  <si>
    <t xml:space="preserve">7.</t>
  </si>
  <si>
    <t xml:space="preserve">8.</t>
  </si>
  <si>
    <t xml:space="preserve">9.</t>
  </si>
  <si>
    <t xml:space="preserve">10.</t>
  </si>
  <si>
    <t xml:space="preserve">11.</t>
  </si>
  <si>
    <t xml:space="preserve">12.</t>
  </si>
  <si>
    <t xml:space="preserve">13.</t>
  </si>
  <si>
    <t xml:space="preserve">14.</t>
  </si>
  <si>
    <t xml:space="preserve">15.</t>
  </si>
  <si>
    <t xml:space="preserve">16.</t>
  </si>
  <si>
    <t xml:space="preserve">17.</t>
  </si>
  <si>
    <t xml:space="preserve">18.</t>
  </si>
  <si>
    <t xml:space="preserve">19.</t>
  </si>
  <si>
    <t xml:space="preserve">20.</t>
  </si>
  <si>
    <t xml:space="preserve">21.</t>
  </si>
  <si>
    <t xml:space="preserve">22.</t>
  </si>
  <si>
    <t xml:space="preserve">23.</t>
  </si>
  <si>
    <t xml:space="preserve">24.</t>
  </si>
  <si>
    <t xml:space="preserve">25.</t>
  </si>
  <si>
    <t xml:space="preserve">26.</t>
  </si>
  <si>
    <t xml:space="preserve">27.</t>
  </si>
  <si>
    <t xml:space="preserve">.........................................................</t>
  </si>
  <si>
    <t xml:space="preserve">Podpis hospodáře skupiny a razítko</t>
  </si>
  <si>
    <t xml:space="preserve">Skupina - realizátor</t>
  </si>
  <si>
    <t xml:space="preserve">Termín akce</t>
  </si>
  <si>
    <t xml:space="preserve">Místo konání akce</t>
  </si>
  <si>
    <t xml:space="preserve">Počet pražských úč. do 26 let:</t>
  </si>
  <si>
    <t xml:space="preserve">Počet účastníků celkem:</t>
  </si>
  <si>
    <r>
      <rPr>
        <sz val="12"/>
        <rFont val="Times New Roman CE"/>
        <family val="1"/>
        <charset val="238"/>
      </rPr>
      <t xml:space="preserve">U akcí delších jak 4 dny - </t>
    </r>
    <r>
      <rPr>
        <b val="true"/>
        <sz val="14"/>
        <rFont val="Times New Roman CE"/>
        <family val="1"/>
        <charset val="238"/>
      </rPr>
      <t xml:space="preserve">Přehled podán u MHMP ( ANO / NE )</t>
    </r>
    <r>
      <rPr>
        <sz val="12"/>
        <rFont val="Times New Roman CE"/>
        <family val="1"/>
        <charset val="238"/>
      </rPr>
      <t xml:space="preserve"> –  nehodící se škrtněte</t>
    </r>
  </si>
  <si>
    <t xml:space="preserve">P.č. dokladu ve sk. Úč. Evid.</t>
  </si>
  <si>
    <t xml:space="preserve">Dat. plat.</t>
  </si>
  <si>
    <t xml:space="preserve">Popis zboží (služby)</t>
  </si>
  <si>
    <t xml:space="preserve">Částka (Kč)</t>
  </si>
  <si>
    <t xml:space="preserve">111/2010</t>
  </si>
  <si>
    <t xml:space="preserve">doprava</t>
  </si>
  <si>
    <t xml:space="preserve">ostatní výdaje</t>
  </si>
  <si>
    <t xml:space="preserve">Celkem</t>
  </si>
  <si>
    <t xml:space="preserve">Z toho čerpáno z dotace</t>
  </si>
  <si>
    <t xml:space="preserve">Výše poplatku pro účastníka:</t>
  </si>
  <si>
    <t xml:space="preserve">V1©16/9/2009 Ho</t>
  </si>
  <si>
    <t xml:space="preserve">Seznam účastníků akce</t>
  </si>
  <si>
    <t xml:space="preserve">Pořádající skupina:</t>
  </si>
  <si>
    <t xml:space="preserve">Adresa skupiny:</t>
  </si>
  <si>
    <t xml:space="preserve">Podolské nábř. 5, 147 00 Praha 4</t>
  </si>
  <si>
    <t xml:space="preserve">Název akce:</t>
  </si>
  <si>
    <t xml:space="preserve">Datum akce:</t>
  </si>
  <si>
    <t xml:space="preserve">Místo konání akce:</t>
  </si>
  <si>
    <t xml:space="preserve">č.</t>
  </si>
  <si>
    <t xml:space="preserve">Jméno</t>
  </si>
  <si>
    <t xml:space="preserve">Příjmení</t>
  </si>
  <si>
    <t xml:space="preserve">Datum naroz.</t>
  </si>
  <si>
    <t xml:space="preserve">Ulice</t>
  </si>
  <si>
    <t xml:space="preserve">Město</t>
  </si>
  <si>
    <t xml:space="preserve">Do 26</t>
  </si>
  <si>
    <t xml:space="preserve">Nad 26</t>
  </si>
  <si>
    <t xml:space="preserve">Praha do 26</t>
  </si>
  <si>
    <t xml:space="preserve">Do 18</t>
  </si>
  <si>
    <t xml:space="preserve">Praha do 18</t>
  </si>
  <si>
    <t xml:space="preserve">28.</t>
  </si>
  <si>
    <t xml:space="preserve">29.</t>
  </si>
  <si>
    <t xml:space="preserve">30.</t>
  </si>
  <si>
    <t xml:space="preserve">31.</t>
  </si>
  <si>
    <t xml:space="preserve">32.</t>
  </si>
  <si>
    <t xml:space="preserve">33.</t>
  </si>
  <si>
    <t xml:space="preserve">34.</t>
  </si>
  <si>
    <t xml:space="preserve">35.</t>
  </si>
  <si>
    <t xml:space="preserve">SUM:</t>
  </si>
  <si>
    <t xml:space="preserve">Účastníci do 26 let</t>
  </si>
  <si>
    <t xml:space="preserve">Nad 26 let: …………………………….</t>
  </si>
  <si>
    <t xml:space="preserve">Celkem účastníků: ………………………….</t>
  </si>
  <si>
    <t xml:space="preserve">Z toho účastníci z Prahy  do 26 let:</t>
  </si>
  <si>
    <t xml:space="preserve">Vypracoval:....................................................................</t>
  </si>
  <si>
    <t xml:space="preserve">Podpis hospodáře a Razítko skupiny</t>
  </si>
  <si>
    <t xml:space="preserve">Do26</t>
  </si>
  <si>
    <t xml:space="preserve">nad 26</t>
  </si>
  <si>
    <t xml:space="preserve">praha do 26</t>
  </si>
  <si>
    <t xml:space="preserve">36.</t>
  </si>
  <si>
    <t xml:space="preserve">37.</t>
  </si>
  <si>
    <t xml:space="preserve">38.</t>
  </si>
  <si>
    <t xml:space="preserve">39.</t>
  </si>
  <si>
    <t xml:space="preserve">40.</t>
  </si>
  <si>
    <t xml:space="preserve">41.</t>
  </si>
  <si>
    <t xml:space="preserve">42.</t>
  </si>
  <si>
    <t xml:space="preserve">43.</t>
  </si>
  <si>
    <t xml:space="preserve">44.</t>
  </si>
  <si>
    <t xml:space="preserve">45.</t>
  </si>
  <si>
    <t xml:space="preserve">46.</t>
  </si>
  <si>
    <t xml:space="preserve">47.</t>
  </si>
  <si>
    <t xml:space="preserve">48.</t>
  </si>
  <si>
    <t xml:space="preserve">49.</t>
  </si>
  <si>
    <t xml:space="preserve">50.</t>
  </si>
  <si>
    <t xml:space="preserve">51.</t>
  </si>
  <si>
    <t xml:space="preserve">52.</t>
  </si>
  <si>
    <t xml:space="preserve">53.</t>
  </si>
  <si>
    <t xml:space="preserve">54.</t>
  </si>
  <si>
    <t xml:space="preserve">55.</t>
  </si>
  <si>
    <t xml:space="preserve">56.</t>
  </si>
  <si>
    <t xml:space="preserve">57.</t>
  </si>
  <si>
    <t xml:space="preserve">58.</t>
  </si>
  <si>
    <t xml:space="preserve">59.</t>
  </si>
  <si>
    <t xml:space="preserve">60.</t>
  </si>
  <si>
    <t xml:space="preserve">61.</t>
  </si>
  <si>
    <t xml:space="preserve">62.</t>
  </si>
  <si>
    <t xml:space="preserve">63.</t>
  </si>
  <si>
    <t xml:space="preserve">64.</t>
  </si>
  <si>
    <t xml:space="preserve">65.</t>
  </si>
  <si>
    <t xml:space="preserve">66.</t>
  </si>
  <si>
    <t xml:space="preserve">67.</t>
  </si>
  <si>
    <t xml:space="preserve">68.</t>
  </si>
  <si>
    <t xml:space="preserve">69.</t>
  </si>
  <si>
    <t xml:space="preserve">70.</t>
  </si>
  <si>
    <t xml:space="preserve">Počet pražských úč. Do 18 let:</t>
  </si>
  <si>
    <t xml:space="preserve">Počet účastníků od 18 do 26 let :</t>
  </si>
  <si>
    <t xml:space="preserve">ROZPIS NÁKLADŮ AKCE</t>
  </si>
  <si>
    <t xml:space="preserve">PŘÍJMY</t>
  </si>
  <si>
    <t xml:space="preserve">hotově</t>
  </si>
  <si>
    <t xml:space="preserve">na účet</t>
  </si>
  <si>
    <t xml:space="preserve">Platby od účastníků</t>
  </si>
  <si>
    <t xml:space="preserve">Dotace MŠMT</t>
  </si>
  <si>
    <t xml:space="preserve">Ostatní příjmy - od skupiny</t>
  </si>
  <si>
    <t xml:space="preserve">Celkové příjmy</t>
  </si>
  <si>
    <t xml:space="preserve">VÝDAJE:</t>
  </si>
  <si>
    <t xml:space="preserve">z účtu</t>
  </si>
  <si>
    <t xml:space="preserve">Nájem/ubytování</t>
  </si>
  <si>
    <t xml:space="preserve">Doprava</t>
  </si>
  <si>
    <t xml:space="preserve">Stravování</t>
  </si>
  <si>
    <t xml:space="preserve">Materiál</t>
  </si>
  <si>
    <t xml:space="preserve">Ostatní</t>
  </si>
  <si>
    <t xml:space="preserve">Celkové výdaje:</t>
  </si>
  <si>
    <t xml:space="preserve">Za správnost odpovídá:</t>
  </si>
  <si>
    <t xml:space="preserve">...............................</t>
  </si>
  <si>
    <t xml:space="preserve">Podpis:</t>
  </si>
  <si>
    <t xml:space="preserve">..............................</t>
  </si>
  <si>
    <t xml:space="preserve">Příloha:</t>
  </si>
  <si>
    <t xml:space="preserve">1. seznam účastníků</t>
  </si>
  <si>
    <t xml:space="preserve">2. prvotní doklady</t>
  </si>
  <si>
    <t xml:space="preserve">Pokyny pro vyúčtování akcí 1/00 - 5/01</t>
  </si>
  <si>
    <r>
      <rPr>
        <sz val="10"/>
        <rFont val="Times New Roman CE"/>
        <family val="1"/>
        <charset val="238"/>
      </rPr>
      <t xml:space="preserve">Formulář </t>
    </r>
    <r>
      <rPr>
        <b val="true"/>
        <sz val="10"/>
        <rFont val="Times New Roman CE"/>
        <family val="1"/>
        <charset val="238"/>
      </rPr>
      <t xml:space="preserve">v y ú č t o v á n í  p r o j e k t u   </t>
    </r>
    <r>
      <rPr>
        <sz val="10"/>
        <rFont val="Times New Roman CE"/>
        <family val="1"/>
        <charset val="238"/>
      </rPr>
      <t xml:space="preserve">obsahuje jen souhrnné položky z jednotlivých</t>
    </r>
  </si>
  <si>
    <r>
      <rPr>
        <sz val="10"/>
        <rFont val="Times New Roman CE"/>
        <family val="1"/>
        <charset val="238"/>
      </rPr>
      <t xml:space="preserve">formulářů </t>
    </r>
    <r>
      <rPr>
        <b val="true"/>
        <sz val="10"/>
        <rFont val="Times New Roman CE"/>
        <family val="1"/>
        <charset val="238"/>
      </rPr>
      <t xml:space="preserve">v y ú č t o v á n í    a k c e</t>
    </r>
    <r>
      <rPr>
        <sz val="10"/>
        <rFont val="Times New Roman CE"/>
        <family val="1"/>
        <charset val="238"/>
      </rPr>
      <t xml:space="preserve">. Jako příloha vyúčtování programu je</t>
    </r>
  </si>
  <si>
    <t xml:space="preserve">  z h o d n o c e n í  c e l é h o  p r o j e k t u.</t>
  </si>
  <si>
    <r>
      <rPr>
        <sz val="10"/>
        <rFont val="Times New Roman CE"/>
        <family val="1"/>
        <charset val="238"/>
      </rPr>
      <t xml:space="preserve">Pozn: Pokud je akce jen jedna, lze ji vyúčtovat pouze na form. </t>
    </r>
    <r>
      <rPr>
        <b val="true"/>
        <sz val="10"/>
        <rFont val="Times New Roman CE"/>
        <family val="1"/>
        <charset val="238"/>
      </rPr>
      <t xml:space="preserve">Vyúčtování projektu</t>
    </r>
  </si>
  <si>
    <r>
      <rPr>
        <sz val="10"/>
        <rFont val="Times New Roman CE"/>
        <family val="1"/>
        <charset val="238"/>
      </rPr>
      <t xml:space="preserve">Poslední termín odevzdání</t>
    </r>
    <r>
      <rPr>
        <b val="true"/>
        <sz val="10"/>
        <rFont val="Times New Roman CE"/>
        <family val="1"/>
        <charset val="238"/>
      </rPr>
      <t xml:space="preserve"> správného </t>
    </r>
    <r>
      <rPr>
        <sz val="10"/>
        <rFont val="Times New Roman CE"/>
        <family val="1"/>
        <charset val="238"/>
      </rPr>
      <t xml:space="preserve">(bez chyb) vyúčtování je </t>
    </r>
    <r>
      <rPr>
        <b val="true"/>
        <sz val="10"/>
        <rFont val="Times New Roman CE"/>
        <family val="1"/>
        <charset val="238"/>
      </rPr>
      <t xml:space="preserve">6/6/2000</t>
    </r>
    <r>
      <rPr>
        <sz val="10"/>
        <rFont val="Times New Roman CE"/>
        <family val="1"/>
        <charset val="238"/>
      </rPr>
      <t xml:space="preserve">, další  nebudou přijata.</t>
    </r>
  </si>
  <si>
    <t xml:space="preserve">Vyúčtování lze posílat na Adresu skupiny Šán, event.osobně po předchozí telef.dohodě.</t>
  </si>
  <si>
    <t xml:space="preserve">Radek Hop Svoboda, tlf.zam. 02/71 72 21 21, mob. 0604 79 19 12</t>
  </si>
  <si>
    <t xml:space="preserve">2/5/2000 Hop</t>
  </si>
  <si>
    <t xml:space="preserve">Rozpočet dětského tábora</t>
  </si>
  <si>
    <t xml:space="preserve">Místo: </t>
  </si>
  <si>
    <t xml:space="preserve">Pořadatel: </t>
  </si>
  <si>
    <t xml:space="preserve">Termín:</t>
  </si>
  <si>
    <t xml:space="preserve">Skutečnost</t>
  </si>
  <si>
    <t xml:space="preserve">Poznámky</t>
  </si>
  <si>
    <t xml:space="preserve">Příjmy:</t>
  </si>
  <si>
    <t xml:space="preserve">Hotovost</t>
  </si>
  <si>
    <t xml:space="preserve">Převodem</t>
  </si>
  <si>
    <t xml:space="preserve">Platby účastníků</t>
  </si>
  <si>
    <t xml:space="preserve">Dotace MHMP</t>
  </si>
  <si>
    <t xml:space="preserve">Ostatní příjmy</t>
  </si>
  <si>
    <t xml:space="preserve">Výdaje:</t>
  </si>
  <si>
    <t xml:space="preserve">Ubytování,nájem</t>
  </si>
  <si>
    <t xml:space="preserve">Odměny táb.prac.</t>
  </si>
  <si>
    <t xml:space="preserve">Zůstatek:</t>
  </si>
  <si>
    <t xml:space="preserve">Údaje o táboře / akci:</t>
  </si>
  <si>
    <t xml:space="preserve">Délka akce</t>
  </si>
  <si>
    <t xml:space="preserve">Účastníci tábora/akce</t>
  </si>
  <si>
    <t xml:space="preserve">Členové sk. </t>
  </si>
  <si>
    <t xml:space="preserve">Cizí účastníci</t>
  </si>
  <si>
    <t xml:space="preserve">Vých. pracovníci</t>
  </si>
  <si>
    <t xml:space="preserve">Ostatní pracovníci</t>
  </si>
  <si>
    <t xml:space="preserve">Celkem účastníků</t>
  </si>
  <si>
    <t xml:space="preserve">Cena pro členy </t>
  </si>
  <si>
    <t xml:space="preserve">Cena pro ostatní</t>
  </si>
  <si>
    <t xml:space="preserve">Údaje o skutečnosti zpracovány dne: </t>
  </si>
  <si>
    <t xml:space="preserve">Skutečnost vypracoval:</t>
  </si>
  <si>
    <t xml:space="preserve">Schválil:</t>
  </si>
  <si>
    <t xml:space="preserve">Kondor - Skupina ŠÁN - Podolské nábřeží 5, Praha 4 - Podolí, 147 00</t>
  </si>
  <si>
    <t xml:space="preserve">Neočekávaný dýchánek</t>
  </si>
  <si>
    <t xml:space="preserve">Místo:</t>
  </si>
  <si>
    <t xml:space="preserve">Začátek:</t>
  </si>
  <si>
    <t xml:space="preserve">Konec:</t>
  </si>
  <si>
    <t xml:space="preserve">Vede:</t>
  </si>
  <si>
    <t xml:space="preserve">1/ do 15let:</t>
  </si>
  <si>
    <t xml:space="preserve">2/ od 15 do 18let:</t>
  </si>
  <si>
    <t xml:space="preserve">3/ od 18 do 26let:</t>
  </si>
  <si>
    <t xml:space="preserve">4/ nad 26let:</t>
  </si>
  <si>
    <t xml:space="preserve">Celkem:</t>
  </si>
  <si>
    <t xml:space="preserve">Celkem člověkodnů:</t>
  </si>
  <si>
    <t xml:space="preserve">Seznam účastníků:</t>
  </si>
  <si>
    <t xml:space="preserve">Dat. Nar.</t>
  </si>
  <si>
    <t xml:space="preserve">PSČ</t>
  </si>
  <si>
    <t xml:space="preserve">Fce</t>
  </si>
  <si>
    <t xml:space="preserve">Přehled o vybraných účastnických poplatcích:</t>
  </si>
  <si>
    <t xml:space="preserve">Dni</t>
  </si>
  <si>
    <t xml:space="preserve">Poplatek</t>
  </si>
  <si>
    <t xml:space="preserve">Poplatek na den</t>
  </si>
  <si>
    <t xml:space="preserve">Soupis výdajů:</t>
  </si>
  <si>
    <t xml:space="preserve">Doklady:</t>
  </si>
  <si>
    <t xml:space="preserve">Kategorie:</t>
  </si>
  <si>
    <t xml:space="preserve"> </t>
  </si>
  <si>
    <t xml:space="preserve">Cestovní náhrady</t>
  </si>
  <si>
    <t xml:space="preserve">Ostatní služby</t>
  </si>
  <si>
    <t xml:space="preserve">PHM auto</t>
  </si>
  <si>
    <t xml:space="preserve">Potraviny</t>
  </si>
  <si>
    <t xml:space="preserve">Ubytování</t>
  </si>
  <si>
    <t xml:space="preserve">Vstupné</t>
  </si>
  <si>
    <t xml:space="preserve">Jeden člověkoden</t>
  </si>
  <si>
    <t xml:space="preserve">Jeden člověkoden zaokr.</t>
  </si>
  <si>
    <t xml:space="preserve">Poplatky celkem:</t>
  </si>
  <si>
    <t xml:space="preserve">Dotace celkem:</t>
  </si>
  <si>
    <t xml:space="preserve">Poplatky+dotace:</t>
  </si>
  <si>
    <t xml:space="preserve">Náklady:</t>
  </si>
  <si>
    <t xml:space="preserve">Stručný průběh akce:</t>
  </si>
  <si>
    <t xml:space="preserve">- zdravotní komplikace některého z účastníků:</t>
  </si>
  <si>
    <t xml:space="preserve">žádné</t>
  </si>
  <si>
    <t xml:space="preserve">- nevhodné chování účastníků (jak dětí tak dospělých):</t>
  </si>
  <si>
    <t xml:space="preserve">- stížnosti rodičů či dětí, jiné komplikace při průběhu akce:</t>
  </si>
  <si>
    <t xml:space="preserve">- pochvalu pro jakéhokoliv účastníka akce (se zdůvodněním):</t>
  </si>
  <si>
    <t xml:space="preserve">žádná</t>
  </si>
  <si>
    <t xml:space="preserve">Text Zhodnocení</t>
  </si>
  <si>
    <t xml:space="preserve">Vrátit:</t>
  </si>
  <si>
    <t xml:space="preserve">Dal</t>
  </si>
  <si>
    <t xml:space="preserve">Cena</t>
  </si>
  <si>
    <t xml:space="preserve">Vrátit</t>
  </si>
  <si>
    <t xml:space="preserve">Převzal</t>
  </si>
  <si>
    <t xml:space="preserve">Vybráno:</t>
  </si>
  <si>
    <t xml:space="preserve">Zůstatek teoreticky:</t>
  </si>
  <si>
    <t xml:space="preserve">Zůstatek v peněžence:</t>
  </si>
</sst>
</file>

<file path=xl/styles.xml><?xml version="1.0" encoding="utf-8"?>
<styleSheet xmlns="http://schemas.openxmlformats.org/spreadsheetml/2006/main">
  <numFmts count="21">
    <numFmt numFmtId="164" formatCode="General"/>
    <numFmt numFmtId="165" formatCode="0"/>
    <numFmt numFmtId="166" formatCode="\ #,##0.00&quot; Kč &quot;;\-#,##0.00&quot; Kč &quot;;&quot; -&quot;#&quot; Kč &quot;;@\ "/>
    <numFmt numFmtId="167" formatCode="#,##0&quot; Kč&quot;"/>
    <numFmt numFmtId="168" formatCode="#,##0&quot; Kč&quot;;\-#,##0&quot; Kč&quot;"/>
    <numFmt numFmtId="169" formatCode="d/m/yyyy"/>
    <numFmt numFmtId="170" formatCode="d/m/yy"/>
    <numFmt numFmtId="171" formatCode="General"/>
    <numFmt numFmtId="172" formatCode="\ #,##0.00&quot;      &quot;;\-#,##0.00&quot;      &quot;;&quot; -&quot;#&quot;      &quot;;@\ "/>
    <numFmt numFmtId="173" formatCode="@"/>
    <numFmt numFmtId="174" formatCode="d/m/"/>
    <numFmt numFmtId="175" formatCode="#,##0&quot; Kč&quot;;\-#,##0&quot; Kč&quot;;&quot;&quot;"/>
    <numFmt numFmtId="176" formatCode="#,##0\ [$Kč-405];[RED]\-#,##0\ [$Kč-405]"/>
    <numFmt numFmtId="177" formatCode="mmm\ dd"/>
    <numFmt numFmtId="178" formatCode="#,##0.00\ ;[RED]\-#,##0.00\ "/>
    <numFmt numFmtId="179" formatCode="#,##0.00"/>
    <numFmt numFmtId="180" formatCode="m/d/yyyy"/>
    <numFmt numFmtId="181" formatCode="###\ ##"/>
    <numFmt numFmtId="182" formatCode="#,##0.00\ [$Kč-405];[RED]\-#,##0.00\ [$Kč-405]"/>
    <numFmt numFmtId="183" formatCode="#,##0,&quot;Kč&quot;"/>
    <numFmt numFmtId="184" formatCode="#,##0.00,&quot;Kč&quot;"/>
  </numFmts>
  <fonts count="62">
    <font>
      <sz val="10"/>
      <name val="Arial CE"/>
      <family val="2"/>
      <charset val="238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Times New Roman CE"/>
      <family val="1"/>
      <charset val="238"/>
    </font>
    <font>
      <b val="true"/>
      <sz val="14"/>
      <name val="Times New Roman CE"/>
      <family val="1"/>
      <charset val="238"/>
    </font>
    <font>
      <sz val="12"/>
      <name val="Arial CE"/>
      <family val="2"/>
      <charset val="238"/>
    </font>
    <font>
      <b val="true"/>
      <sz val="12"/>
      <name val="Times New Roman CE"/>
      <family val="1"/>
      <charset val="238"/>
    </font>
    <font>
      <b val="true"/>
      <sz val="22"/>
      <name val="Times New Roman"/>
      <family val="1"/>
      <charset val="238"/>
    </font>
    <font>
      <b val="true"/>
      <sz val="14"/>
      <name val="Times New Roman"/>
      <family val="1"/>
      <charset val="238"/>
    </font>
    <font>
      <sz val="10"/>
      <color rgb="FFFFFFFF"/>
      <name val="Times New Roman CE"/>
      <family val="1"/>
      <charset val="238"/>
    </font>
    <font>
      <b val="true"/>
      <sz val="11"/>
      <name val="Times New Roman CE"/>
      <family val="1"/>
      <charset val="238"/>
    </font>
    <font>
      <sz val="22"/>
      <color rgb="FFFFFFFF"/>
      <name val="Times New Roman CE"/>
      <family val="1"/>
      <charset val="238"/>
    </font>
    <font>
      <b val="true"/>
      <sz val="10"/>
      <name val="Times New Roman CE"/>
      <family val="1"/>
      <charset val="238"/>
    </font>
    <font>
      <sz val="10"/>
      <name val="Times New Roman"/>
      <family val="1"/>
      <charset val="238"/>
    </font>
    <font>
      <sz val="7"/>
      <name val="Times New Roman CE"/>
      <family val="1"/>
      <charset val="238"/>
    </font>
    <font>
      <sz val="12"/>
      <name val="Times New Roman CE"/>
      <family val="1"/>
      <charset val="238"/>
    </font>
    <font>
      <sz val="10"/>
      <name val="Arial"/>
      <family val="2"/>
    </font>
    <font>
      <b val="true"/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i val="true"/>
      <sz val="12"/>
      <color rgb="FF000000"/>
      <name val="Times New Roman CE"/>
      <family val="0"/>
    </font>
    <font>
      <b val="true"/>
      <sz val="22"/>
      <color rgb="FF000000"/>
      <name val="Times New Roman CE"/>
      <family val="0"/>
    </font>
    <font>
      <i val="true"/>
      <sz val="11"/>
      <color rgb="FF000000"/>
      <name val="Times New Roman CE"/>
      <family val="0"/>
    </font>
    <font>
      <b val="true"/>
      <i val="true"/>
      <sz val="16"/>
      <color rgb="FF000000"/>
      <name val="Times New Roman CE"/>
      <family val="0"/>
    </font>
    <font>
      <b val="true"/>
      <sz val="12"/>
      <name val="Times New Roman"/>
      <family val="1"/>
      <charset val="238"/>
    </font>
    <font>
      <sz val="12"/>
      <color rgb="FF000000"/>
      <name val="Times New Roman CE"/>
      <family val="1"/>
      <charset val="238"/>
    </font>
    <font>
      <b val="true"/>
      <sz val="12"/>
      <color rgb="FF000000"/>
      <name val="Times New Roman CE"/>
      <family val="1"/>
      <charset val="238"/>
    </font>
    <font>
      <b val="true"/>
      <sz val="18"/>
      <name val="Times New Roman CE"/>
      <family val="1"/>
      <charset val="238"/>
    </font>
    <font>
      <sz val="12"/>
      <name val="Times New Roman"/>
      <family val="1"/>
      <charset val="238"/>
    </font>
    <font>
      <i val="true"/>
      <sz val="12"/>
      <name val="Times New Roman CE"/>
      <family val="1"/>
      <charset val="238"/>
    </font>
    <font>
      <sz val="10"/>
      <name val="Arial Narrow"/>
      <family val="2"/>
      <charset val="238"/>
    </font>
    <font>
      <b val="true"/>
      <sz val="14"/>
      <name val="Arial Narrow"/>
      <family val="2"/>
      <charset val="238"/>
    </font>
    <font>
      <sz val="12"/>
      <name val="Arial Narrow"/>
      <family val="2"/>
      <charset val="238"/>
    </font>
    <font>
      <b val="true"/>
      <sz val="12"/>
      <name val="Arial Narrow"/>
      <family val="2"/>
      <charset val="238"/>
    </font>
    <font>
      <b val="true"/>
      <sz val="10"/>
      <name val="Arial Narrow"/>
      <family val="2"/>
      <charset val="238"/>
    </font>
    <font>
      <b val="true"/>
      <sz val="10"/>
      <color rgb="FF000000"/>
      <name val="Arial Narrow"/>
      <family val="2"/>
      <charset val="238"/>
    </font>
    <font>
      <b val="true"/>
      <sz val="11"/>
      <color rgb="FF000000"/>
      <name val="Arial Narrow"/>
      <family val="2"/>
      <charset val="238"/>
    </font>
    <font>
      <sz val="11"/>
      <color rgb="FF000000"/>
      <name val="Arial Narrow"/>
      <family val="2"/>
      <charset val="238"/>
    </font>
    <font>
      <sz val="11"/>
      <name val="Arial Narrow"/>
      <family val="2"/>
      <charset val="238"/>
    </font>
    <font>
      <i val="true"/>
      <sz val="11"/>
      <color rgb="FF000000"/>
      <name val="Arial Narrow"/>
      <family val="2"/>
      <charset val="238"/>
    </font>
    <font>
      <sz val="10"/>
      <color rgb="FF000000"/>
      <name val="Arial Narrow"/>
      <family val="2"/>
      <charset val="238"/>
    </font>
    <font>
      <b val="true"/>
      <i val="true"/>
      <sz val="10"/>
      <color rgb="FF000000"/>
      <name val="Arial Narrow"/>
      <family val="2"/>
      <charset val="238"/>
    </font>
    <font>
      <sz val="7"/>
      <name val="Arial Narrow"/>
      <family val="2"/>
      <charset val="238"/>
    </font>
    <font>
      <b val="true"/>
      <sz val="16"/>
      <name val="Times New Roman CE"/>
      <family val="1"/>
      <charset val="238"/>
    </font>
    <font>
      <b val="true"/>
      <i val="true"/>
      <sz val="10"/>
      <color rgb="FF000000"/>
      <name val="Times New Roman CE"/>
      <family val="0"/>
    </font>
    <font>
      <sz val="10"/>
      <color rgb="FF000000"/>
      <name val="Times New Roman"/>
      <family val="0"/>
    </font>
    <font>
      <sz val="10"/>
      <color rgb="FF000000"/>
      <name val="Times New Roman CE"/>
      <family val="0"/>
    </font>
    <font>
      <b val="true"/>
      <sz val="10"/>
      <color rgb="FF000000"/>
      <name val="Times New Roman CE"/>
      <family val="0"/>
    </font>
    <font>
      <b val="true"/>
      <i val="true"/>
      <u val="single"/>
      <sz val="10"/>
      <color rgb="FF000000"/>
      <name val="Times New Roman CE"/>
      <family val="0"/>
    </font>
    <font>
      <b val="true"/>
      <sz val="16"/>
      <name val="Arial Narrow"/>
      <family val="2"/>
      <charset val="238"/>
    </font>
    <font>
      <sz val="12"/>
      <name val="Arial"/>
      <family val="2"/>
      <charset val="1"/>
    </font>
    <font>
      <sz val="12"/>
      <color rgb="FF000000"/>
      <name val="Arial Narrow"/>
      <family val="2"/>
      <charset val="238"/>
    </font>
    <font>
      <sz val="10"/>
      <name val="Arial"/>
      <family val="2"/>
      <charset val="238"/>
    </font>
    <font>
      <b val="true"/>
      <sz val="13"/>
      <name val="Arial"/>
      <family val="2"/>
      <charset val="238"/>
    </font>
    <font>
      <b val="true"/>
      <sz val="14"/>
      <name val="Arial"/>
      <family val="2"/>
      <charset val="238"/>
    </font>
    <font>
      <b val="true"/>
      <sz val="10"/>
      <name val="Arial CE"/>
      <family val="2"/>
      <charset val="238"/>
    </font>
    <font>
      <b val="true"/>
      <sz val="10"/>
      <name val="Arial"/>
      <family val="2"/>
      <charset val="238"/>
    </font>
    <font>
      <b val="true"/>
      <sz val="11"/>
      <name val="Arial"/>
      <family val="2"/>
      <charset val="238"/>
    </font>
    <font>
      <b val="true"/>
      <i val="true"/>
      <sz val="14"/>
      <name val="Times New Roman CE"/>
      <family val="1"/>
      <charset val="238"/>
    </font>
    <font>
      <sz val="8"/>
      <color rgb="FF000000"/>
      <name val="Arial CE"/>
      <family val="2"/>
      <charset val="238"/>
    </font>
    <font>
      <sz val="11"/>
      <color rgb="FF000000"/>
      <name val="Times New Roman"/>
      <family val="0"/>
    </font>
    <font>
      <b val="true"/>
      <u val="single"/>
      <sz val="10"/>
      <name val="Arial"/>
      <family val="2"/>
      <charset val="238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969696"/>
        <bgColor rgb="FF808080"/>
      </patternFill>
    </fill>
  </fills>
  <borders count="43">
    <border diagonalUp="false" diagonalDown="false">
      <left/>
      <right/>
      <top/>
      <bottom/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/>
      <right/>
      <top style="medium"/>
      <bottom style="medium"/>
      <diagonal/>
    </border>
    <border diagonalUp="false" diagonalDown="false">
      <left style="thin"/>
      <right style="thin"/>
      <top style="medium"/>
      <bottom style="medium"/>
      <diagonal/>
    </border>
    <border diagonalUp="false" diagonalDown="false">
      <left style="thin"/>
      <right style="medium"/>
      <top style="medium"/>
      <bottom style="medium"/>
      <diagonal/>
    </border>
    <border diagonalUp="false" diagonalDown="false">
      <left style="medium"/>
      <right style="thin"/>
      <top/>
      <bottom/>
      <diagonal/>
    </border>
    <border diagonalUp="false" diagonalDown="false">
      <left style="thin"/>
      <right style="thin"/>
      <top style="medium"/>
      <bottom/>
      <diagonal/>
    </border>
    <border diagonalUp="false" diagonalDown="false">
      <left style="thin"/>
      <right style="medium"/>
      <top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/>
      <right/>
      <top style="medium"/>
      <bottom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 style="thin"/>
      <right/>
      <top/>
      <bottom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 style="medium"/>
      <right style="medium"/>
      <top/>
      <bottom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hair"/>
      <right/>
      <top style="hair"/>
      <bottom style="hair"/>
      <diagonal/>
    </border>
    <border diagonalUp="false" diagonalDown="false">
      <left/>
      <right/>
      <top style="hair"/>
      <bottom style="hair"/>
      <diagonal/>
    </border>
    <border diagonalUp="false" diagonalDown="false">
      <left/>
      <right style="hair"/>
      <top style="hair"/>
      <bottom style="hair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 style="thin"/>
      <top style="medium"/>
      <bottom style="double"/>
      <diagonal/>
    </border>
    <border diagonalUp="false" diagonalDown="false">
      <left style="thin"/>
      <right style="thin"/>
      <top style="medium"/>
      <bottom style="double"/>
      <diagonal/>
    </border>
    <border diagonalUp="false" diagonalDown="false">
      <left style="thin"/>
      <right style="medium"/>
      <top style="medium"/>
      <bottom style="double"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/>
      <right/>
      <top/>
      <bottom style="thick"/>
      <diagonal/>
    </border>
    <border diagonalUp="false" diagonalDown="false">
      <left/>
      <right/>
      <top style="thick"/>
      <bottom/>
      <diagonal/>
    </border>
    <border diagonalUp="false" diagonalDown="false">
      <left/>
      <right/>
      <top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72" fontId="0" fillId="0" borderId="0" applyFont="true" applyBorder="false" applyAlignment="true" applyProtection="false">
      <alignment horizontal="general" vertical="bottom" textRotation="0" wrapText="false" indent="0" shrinkToFit="false"/>
    </xf>
    <xf numFmtId="41" fontId="1" fillId="0" borderId="0" applyFont="true" applyBorder="false" applyAlignment="false" applyProtection="false"/>
    <xf numFmtId="166" fontId="0" fillId="0" borderId="0" applyFont="true" applyBorder="false" applyAlignment="true" applyProtection="false">
      <alignment horizontal="general" vertical="bottom" textRotation="0" wrapText="false" indent="0" shrinkToFit="false"/>
    </xf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26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2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0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8" fillId="0" borderId="0" xfId="0" applyFont="true" applyBorder="true" applyAlignment="true" applyProtection="true">
      <alignment horizontal="left" vertical="bottom" textRotation="0" wrapText="false" indent="2" shrinkToFit="false"/>
      <protection locked="false" hidden="false"/>
    </xf>
    <xf numFmtId="164" fontId="0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" fillId="0" borderId="0" xfId="17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8" fontId="9" fillId="0" borderId="0" xfId="17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10" fillId="0" borderId="0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5" fontId="7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11" fillId="0" borderId="0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11" fillId="0" borderId="0" xfId="0" applyFont="true" applyBorder="true" applyAlignment="true" applyProtection="true">
      <alignment horizontal="left" vertical="bottom" textRotation="0" wrapText="false" indent="0" shrinkToFit="false"/>
      <protection locked="false" hidden="false"/>
    </xf>
    <xf numFmtId="165" fontId="5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left" vertical="bottom" textRotation="0" wrapText="false" indent="0" shrinkToFit="false"/>
      <protection locked="false" hidden="false"/>
    </xf>
    <xf numFmtId="165" fontId="10" fillId="2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12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11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11" fillId="0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11" fillId="0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0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13" fillId="0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9" fontId="4" fillId="0" borderId="0" xfId="0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164" fontId="14" fillId="0" borderId="6" xfId="0" applyFont="true" applyBorder="true" applyAlignment="true" applyProtection="true">
      <alignment horizontal="left" vertical="bottom" textRotation="0" wrapText="false" indent="0" shrinkToFit="false"/>
      <protection locked="false" hidden="false"/>
    </xf>
    <xf numFmtId="166" fontId="5" fillId="0" borderId="7" xfId="17" applyFont="true" applyBorder="true" applyAlignment="true" applyProtection="true">
      <alignment horizontal="right" vertical="bottom" textRotation="0" wrapText="false" indent="0" shrinkToFit="false"/>
      <protection locked="false" hidden="false"/>
    </xf>
    <xf numFmtId="170" fontId="4" fillId="0" borderId="0" xfId="0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164" fontId="14" fillId="0" borderId="8" xfId="0" applyFont="true" applyBorder="true" applyAlignment="true" applyProtection="true">
      <alignment horizontal="left" vertical="bottom" textRotation="0" wrapText="false" indent="0" shrinkToFit="false"/>
      <protection locked="false" hidden="false"/>
    </xf>
    <xf numFmtId="165" fontId="10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15" fillId="0" borderId="0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9" fontId="7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13" fillId="0" borderId="9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3" fillId="0" borderId="9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4" fillId="0" borderId="1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2" fontId="4" fillId="0" borderId="10" xfId="15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3" fontId="13" fillId="0" borderId="1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1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13" fillId="0" borderId="13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13" fillId="0" borderId="1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1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13" fillId="0" borderId="1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15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11" fillId="0" borderId="14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5" fontId="11" fillId="0" borderId="1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11" fillId="0" borderId="1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3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1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3" fontId="25" fillId="0" borderId="17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9" fontId="25" fillId="0" borderId="18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16" fillId="0" borderId="15" xfId="0" applyFont="true" applyBorder="true" applyAlignment="true" applyProtection="true">
      <alignment horizontal="left" vertical="bottom" textRotation="0" wrapText="false" indent="0" shrinkToFit="false"/>
      <protection locked="false" hidden="false"/>
    </xf>
    <xf numFmtId="164" fontId="16" fillId="0" borderId="0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6" fontId="16" fillId="0" borderId="18" xfId="17" applyFont="true" applyBorder="true" applyAlignment="true" applyProtection="true">
      <alignment horizontal="right" vertical="bottom" textRotation="0" wrapText="false" indent="0" shrinkToFit="false"/>
      <protection locked="false" hidden="false"/>
    </xf>
    <xf numFmtId="173" fontId="26" fillId="0" borderId="17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9" fontId="25" fillId="0" borderId="19" xfId="0" applyFont="true" applyBorder="true" applyAlignment="true" applyProtection="true">
      <alignment horizontal="left" vertical="bottom" textRotation="0" wrapText="false" indent="0" shrinkToFit="false"/>
      <protection locked="false" hidden="false"/>
    </xf>
    <xf numFmtId="164" fontId="16" fillId="0" borderId="0" xfId="0" applyFont="true" applyBorder="true" applyAlignment="true" applyProtection="true">
      <alignment horizontal="left" vertical="bottom" textRotation="0" wrapText="false" indent="0" shrinkToFit="false"/>
      <protection locked="false" hidden="false"/>
    </xf>
    <xf numFmtId="166" fontId="16" fillId="0" borderId="19" xfId="17" applyFont="true" applyBorder="true" applyAlignment="true" applyProtection="true">
      <alignment horizontal="right" vertical="bottom" textRotation="0" wrapText="false" indent="0" shrinkToFit="false"/>
      <protection locked="false" hidden="false"/>
    </xf>
    <xf numFmtId="169" fontId="25" fillId="0" borderId="19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4" fontId="25" fillId="0" borderId="19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3" fontId="16" fillId="0" borderId="17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4" fontId="16" fillId="0" borderId="19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4" fontId="16" fillId="0" borderId="20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16" fillId="0" borderId="21" xfId="0" applyFont="true" applyBorder="true" applyAlignment="true" applyProtection="true">
      <alignment horizontal="left" vertical="bottom" textRotation="0" wrapText="false" indent="0" shrinkToFit="false"/>
      <protection locked="false" hidden="false"/>
    </xf>
    <xf numFmtId="164" fontId="16" fillId="0" borderId="22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7" fillId="0" borderId="15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71" fontId="10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75" fontId="5" fillId="0" borderId="14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76" fontId="4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26" fillId="0" borderId="14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1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7" fillId="0" borderId="0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6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6" fillId="0" borderId="0" xfId="2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9" fontId="1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7" fillId="0" borderId="2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2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7" fillId="0" borderId="21" xfId="0" applyFont="true" applyBorder="true" applyAlignment="true" applyProtection="true">
      <alignment horizontal="left" vertical="bottom" textRotation="0" wrapText="false" indent="1" shrinkToFit="false"/>
      <protection locked="true" hidden="false"/>
    </xf>
    <xf numFmtId="165" fontId="1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28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9" fontId="28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5" fontId="28" fillId="0" borderId="0" xfId="0" applyFont="true" applyBorder="false" applyAlignment="true" applyProtection="true">
      <alignment horizontal="left" vertical="bottom" textRotation="0" wrapText="false" indent="1" shrinkToFit="false"/>
      <protection locked="true" hidden="false"/>
    </xf>
    <xf numFmtId="171" fontId="16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left" vertical="bottom" textRotation="0" wrapText="false" indent="1" shrinkToFit="false"/>
      <protection locked="true" hidden="false"/>
    </xf>
    <xf numFmtId="165" fontId="2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16" fillId="0" borderId="2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2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0" xfId="2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9" fontId="16" fillId="0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5" fontId="4" fillId="0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70" fontId="4" fillId="0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71" fontId="4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0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1" fillId="0" borderId="0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32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33" fillId="0" borderId="0" xfId="2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30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30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34" fillId="0" borderId="9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34" fillId="0" borderId="9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30" fillId="0" borderId="1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2" fontId="30" fillId="0" borderId="10" xfId="15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3" fontId="34" fillId="0" borderId="2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30" fillId="0" borderId="2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30" fillId="0" borderId="2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4" fillId="0" borderId="2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4" fillId="0" borderId="2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0" fillId="0" borderId="2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3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35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36" fillId="2" borderId="2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37" fillId="2" borderId="9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37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7" fillId="2" borderId="1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72" fontId="37" fillId="2" borderId="1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2" fontId="38" fillId="0" borderId="2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2" fontId="37" fillId="2" borderId="11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2" fontId="38" fillId="0" borderId="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2" fontId="37" fillId="2" borderId="2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2" fontId="36" fillId="2" borderId="2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2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37" fillId="2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37" fillId="2" borderId="2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37" fillId="2" borderId="26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72" fontId="37" fillId="2" borderId="2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2" fontId="39" fillId="2" borderId="2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2" fontId="36" fillId="2" borderId="1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5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2" fontId="41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6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42" fillId="0" borderId="0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33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43" fillId="0" borderId="0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13" fillId="0" borderId="0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3" fontId="4" fillId="0" borderId="0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3" fillId="0" borderId="0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5" fillId="0" borderId="0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7" fontId="4" fillId="0" borderId="0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49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3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32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32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50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32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1" fillId="0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31" fillId="0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3" fillId="0" borderId="2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33" fillId="0" borderId="2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33" fillId="3" borderId="2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2" fillId="0" borderId="3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8" fontId="32" fillId="0" borderId="10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8" fontId="32" fillId="0" borderId="26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32" fillId="0" borderId="3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2" fillId="0" borderId="3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2" fillId="0" borderId="3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2" fillId="0" borderId="3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8" fontId="32" fillId="0" borderId="35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8" fontId="32" fillId="0" borderId="3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2" fillId="0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8" fontId="32" fillId="0" borderId="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2" fillId="0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3" fillId="0" borderId="2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8" fontId="32" fillId="0" borderId="0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33" fillId="0" borderId="33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33" fillId="0" borderId="1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32" fillId="0" borderId="3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51" fillId="0" borderId="38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32" fillId="0" borderId="39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1" fillId="3" borderId="26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32" fillId="0" borderId="33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1" fillId="0" borderId="26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1" fontId="32" fillId="0" borderId="26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32" fillId="3" borderId="26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9" fontId="32" fillId="0" borderId="26" xfId="0" applyFont="true" applyBorder="true" applyAlignment="true" applyProtection="true">
      <alignment horizontal="right" vertical="bottom" textRotation="0" wrapText="false" indent="0" shrinkToFit="false"/>
      <protection locked="false" hidden="false"/>
    </xf>
    <xf numFmtId="179" fontId="32" fillId="0" borderId="35" xfId="0" applyFont="true" applyBorder="true" applyAlignment="true" applyProtection="true">
      <alignment horizontal="right" vertical="bottom" textRotation="0" wrapText="false" indent="0" shrinkToFit="false"/>
      <protection locked="false" hidden="false"/>
    </xf>
    <xf numFmtId="164" fontId="32" fillId="0" borderId="36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32" fillId="0" borderId="0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9" fontId="3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80" fontId="5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2" fillId="0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4" fontId="53" fillId="0" borderId="0" xfId="2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54" fillId="0" borderId="0" xfId="0" applyFont="true" applyBorder="false" applyAlignment="true" applyProtection="true">
      <alignment horizontal="left" vertical="bottom" textRotation="0" wrapText="false" indent="0" shrinkToFit="false"/>
      <protection locked="false" hidden="false"/>
    </xf>
    <xf numFmtId="164" fontId="53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52" fillId="0" borderId="0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80" fontId="52" fillId="0" borderId="0" xfId="0" applyFont="true" applyBorder="true" applyAlignment="true" applyProtection="true">
      <alignment horizontal="left" vertical="bottom" textRotation="0" wrapText="false" indent="0" shrinkToFit="false"/>
      <protection locked="false" hidden="false"/>
    </xf>
    <xf numFmtId="171" fontId="52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55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52" fillId="0" borderId="4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52" fillId="0" borderId="40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52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52" fillId="0" borderId="0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5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7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6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false" hidden="false"/>
    </xf>
    <xf numFmtId="164" fontId="0" fillId="0" borderId="0" xfId="15" applyFont="true" applyBorder="true" applyAlignment="true" applyProtection="true">
      <alignment horizontal="left" vertical="bottom" textRotation="0" wrapText="false" indent="0" shrinkToFit="false"/>
      <protection locked="false" hidden="false"/>
    </xf>
    <xf numFmtId="180" fontId="0" fillId="0" borderId="0" xfId="15" applyFont="true" applyBorder="true" applyAlignment="true" applyProtection="true">
      <alignment horizontal="right" vertical="bottom" textRotation="0" wrapText="false" indent="0" shrinkToFit="false"/>
      <protection locked="false" hidden="false"/>
    </xf>
    <xf numFmtId="181" fontId="0" fillId="0" borderId="0" xfId="15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0" fillId="0" borderId="0" xfId="0" applyFont="true" applyBorder="false" applyAlignment="true" applyProtection="true">
      <alignment horizontal="center" vertical="bottom" textRotation="0" wrapText="false" indent="0" shrinkToFit="false"/>
      <protection locked="false" hidden="false"/>
    </xf>
    <xf numFmtId="164" fontId="0" fillId="0" borderId="0" xfId="15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left" vertical="bottom" textRotation="0" wrapText="false" indent="0" shrinkToFit="false"/>
      <protection locked="false" hidden="false"/>
    </xf>
    <xf numFmtId="164" fontId="0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5" fontId="0" fillId="0" borderId="0" xfId="15" applyFont="true" applyBorder="true" applyAlignment="true" applyProtection="true">
      <alignment horizontal="left" vertical="bottom" textRotation="0" wrapText="false" indent="0" shrinkToFit="false"/>
      <protection locked="fals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false" hidden="false"/>
    </xf>
    <xf numFmtId="180" fontId="0" fillId="0" borderId="0" xfId="0" applyFont="false" applyBorder="false" applyAlignment="true" applyProtection="true">
      <alignment horizontal="general" vertical="bottom" textRotation="0" wrapText="false" indent="0" shrinkToFit="false"/>
      <protection locked="false" hidden="false"/>
    </xf>
    <xf numFmtId="180" fontId="0" fillId="0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80" fontId="52" fillId="0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4" fontId="52" fillId="0" borderId="0" xfId="0" applyFont="true" applyBorder="false" applyAlignment="true" applyProtection="true">
      <alignment horizontal="left" vertical="bottom" textRotation="0" wrapText="false" indent="1" shrinkToFit="false"/>
      <protection locked="false" hidden="false"/>
    </xf>
    <xf numFmtId="164" fontId="52" fillId="0" borderId="0" xfId="0" applyFont="true" applyBorder="false" applyAlignment="true" applyProtection="true">
      <alignment horizontal="center" vertical="bottom" textRotation="0" wrapText="false" indent="0" shrinkToFit="false"/>
      <protection locked="false" hidden="false"/>
    </xf>
    <xf numFmtId="171" fontId="54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71" fontId="52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52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6" fillId="0" borderId="2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5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82" fontId="5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2" fillId="0" borderId="4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2" fillId="0" borderId="4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83" fontId="52" fillId="0" borderId="4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52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2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71" fontId="53" fillId="0" borderId="0" xfId="20" applyFont="true" applyBorder="false" applyAlignment="true" applyProtection="true">
      <alignment horizontal="left" vertical="bottom" textRotation="0" wrapText="false" indent="0" shrinkToFit="false"/>
      <protection locked="false" hidden="false"/>
    </xf>
    <xf numFmtId="164" fontId="56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6" fillId="0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82" fontId="52" fillId="0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4" fontId="52" fillId="0" borderId="0" xfId="0" applyFont="true" applyBorder="false" applyAlignment="true" applyProtection="true">
      <alignment horizontal="center" vertical="center" textRotation="0" wrapText="false" indent="0" shrinkToFit="false"/>
      <protection locked="false" hidden="false"/>
    </xf>
    <xf numFmtId="164" fontId="55" fillId="0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4" fontId="0" fillId="0" borderId="0" xfId="0" applyFont="true" applyBorder="false" applyAlignment="true" applyProtection="true">
      <alignment horizontal="center" vertical="center" textRotation="0" wrapText="false" indent="0" shrinkToFit="false"/>
      <protection locked="false" hidden="false"/>
    </xf>
    <xf numFmtId="164" fontId="0" fillId="0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9" fontId="52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84" fontId="56" fillId="0" borderId="4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82" fontId="5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82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53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5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5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5" fontId="8" fillId="0" borderId="0" xfId="0" applyFont="true" applyBorder="true" applyAlignment="true" applyProtection="true">
      <alignment horizontal="left" vertical="bottom" textRotation="0" wrapText="false" indent="2" shrinkToFit="false"/>
      <protection locked="true" hidden="false"/>
    </xf>
    <xf numFmtId="172" fontId="58" fillId="0" borderId="0" xfId="15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16" fillId="0" borderId="0" xfId="0" applyFont="true" applyBorder="true" applyAlignment="true" applyProtection="true">
      <alignment horizontal="justify" vertical="top" textRotation="0" wrapText="false" indent="0" shrinkToFit="false"/>
      <protection locked="false" hidden="false"/>
    </xf>
    <xf numFmtId="169" fontId="52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6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6" fillId="0" borderId="4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52" fillId="0" borderId="12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82" fontId="52" fillId="0" borderId="12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52" fillId="0" borderId="12" xfId="0" applyFont="true" applyBorder="true" applyAlignment="true" applyProtection="true">
      <alignment horizontal="right" vertical="bottom" textRotation="0" wrapText="false" indent="0" shrinkToFit="false"/>
      <protection locked="fals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ální_dotace" xfId="20"/>
  </cellStyles>
  <dxfs count="1">
    <dxf>
      <font>
        <b val="0"/>
        <color rgb="FF000000"/>
      </font>
      <fill>
        <patternFill>
          <bgColor rgb="FFFF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4</xdr:col>
      <xdr:colOff>1238400</xdr:colOff>
      <xdr:row>6</xdr:row>
      <xdr:rowOff>151200</xdr:rowOff>
    </xdr:from>
    <xdr:to>
      <xdr:col>5</xdr:col>
      <xdr:colOff>932760</xdr:colOff>
      <xdr:row>9</xdr:row>
      <xdr:rowOff>34920</xdr:rowOff>
    </xdr:to>
    <xdr:sp>
      <xdr:nvSpPr>
        <xdr:cNvPr id="0" name="Text Box 5"/>
        <xdr:cNvSpPr/>
      </xdr:nvSpPr>
      <xdr:spPr>
        <a:xfrm>
          <a:off x="3182760" y="1390680"/>
          <a:ext cx="1425960" cy="428040"/>
        </a:xfrm>
        <a:prstGeom prst="rect">
          <a:avLst/>
        </a:prstGeom>
        <a:noFill/>
        <a:ln cap="sq" w="936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vertOverflow="clip" lIns="20160" rIns="20160" tIns="20160" bIns="20160" anchor="t">
          <a:noAutofit/>
        </a:bodyPr>
        <a:p>
          <a:pPr algn="ctr">
            <a:lnSpc>
              <a:spcPct val="100000"/>
            </a:lnSpc>
          </a:pPr>
          <a:r>
            <a:rPr b="0" i="1" lang="en-US" sz="1200" spc="-1" strike="noStrike">
              <a:solidFill>
                <a:srgbClr val="000000"/>
              </a:solidFill>
              <a:latin typeface="Times New Roman CE"/>
            </a:rPr>
            <a:t>Vyúčtovaná částka</a:t>
          </a:r>
          <a:endParaRPr b="0" lang="en-US" sz="1200" spc="-1" strike="noStrike">
            <a:latin typeface="Times New Roman"/>
          </a:endParaRPr>
        </a:p>
      </xdr:txBody>
    </xdr:sp>
    <xdr:clientData/>
  </xdr:twoCellAnchor>
  <xdr:twoCellAnchor editAs="twoCell">
    <xdr:from>
      <xdr:col>3</xdr:col>
      <xdr:colOff>438120</xdr:colOff>
      <xdr:row>6</xdr:row>
      <xdr:rowOff>141840</xdr:rowOff>
    </xdr:from>
    <xdr:to>
      <xdr:col>4</xdr:col>
      <xdr:colOff>1065960</xdr:colOff>
      <xdr:row>9</xdr:row>
      <xdr:rowOff>15840</xdr:rowOff>
    </xdr:to>
    <xdr:sp>
      <xdr:nvSpPr>
        <xdr:cNvPr id="1" name="Text Box 6"/>
        <xdr:cNvSpPr/>
      </xdr:nvSpPr>
      <xdr:spPr>
        <a:xfrm>
          <a:off x="1738080" y="1381320"/>
          <a:ext cx="1272240" cy="418320"/>
        </a:xfrm>
        <a:prstGeom prst="rect">
          <a:avLst/>
        </a:prstGeom>
        <a:noFill/>
        <a:ln cap="sq" w="936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vertOverflow="clip" lIns="20160" rIns="20160" tIns="20160" bIns="20160" anchor="t">
          <a:noAutofit/>
        </a:bodyPr>
        <a:p>
          <a:pPr algn="ctr">
            <a:lnSpc>
              <a:spcPct val="100000"/>
            </a:lnSpc>
          </a:pPr>
          <a:r>
            <a:rPr b="0" i="1" lang="en-US" sz="1200" spc="-1" strike="noStrike">
              <a:solidFill>
                <a:srgbClr val="000000"/>
              </a:solidFill>
              <a:latin typeface="Times New Roman CE"/>
            </a:rPr>
            <a:t>přidělená částka</a:t>
          </a:r>
          <a:endParaRPr b="0" lang="en-US" sz="1200" spc="-1" strike="noStrike">
            <a:latin typeface="Times New Roman"/>
          </a:endParaRPr>
        </a:p>
      </xdr:txBody>
    </xdr:sp>
    <xdr:clientData/>
  </xdr:twoCellAnchor>
  <xdr:twoCellAnchor editAs="twoCell">
    <xdr:from>
      <xdr:col>0</xdr:col>
      <xdr:colOff>19080</xdr:colOff>
      <xdr:row>2</xdr:row>
      <xdr:rowOff>160560</xdr:rowOff>
    </xdr:from>
    <xdr:to>
      <xdr:col>6</xdr:col>
      <xdr:colOff>1123200</xdr:colOff>
      <xdr:row>5</xdr:row>
      <xdr:rowOff>102960</xdr:rowOff>
    </xdr:to>
    <xdr:sp>
      <xdr:nvSpPr>
        <xdr:cNvPr id="2" name="Text Box 7"/>
        <xdr:cNvSpPr/>
      </xdr:nvSpPr>
      <xdr:spPr>
        <a:xfrm>
          <a:off x="19080" y="752400"/>
          <a:ext cx="5998680" cy="428040"/>
        </a:xfrm>
        <a:prstGeom prst="rect">
          <a:avLst/>
        </a:prstGeom>
        <a:noFill/>
        <a:ln cap="sq" w="936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vertOverflow="clip" lIns="20160" rIns="20160" tIns="20160" bIns="20160" anchor="t">
          <a:noAutofit/>
        </a:bodyPr>
        <a:p>
          <a:pPr algn="ctr">
            <a:lnSpc>
              <a:spcPct val="100000"/>
            </a:lnSpc>
          </a:pPr>
          <a:r>
            <a:rPr b="1" lang="en-US" sz="2200" spc="-1" strike="noStrike">
              <a:solidFill>
                <a:srgbClr val="000000"/>
              </a:solidFill>
              <a:latin typeface="Times New Roman CE"/>
            </a:rPr>
            <a:t>v y ú č t o v á n í  p r o j e k t u   č.               </a:t>
          </a:r>
          <a:endParaRPr b="0" lang="en-US" sz="2200" spc="-1" strike="noStrike">
            <a:latin typeface="Times New Roman"/>
          </a:endParaRPr>
        </a:p>
      </xdr:txBody>
    </xdr:sp>
    <xdr:clientData/>
  </xdr:twoCellAnchor>
  <xdr:twoCellAnchor editAs="twoCell">
    <xdr:from>
      <xdr:col>5</xdr:col>
      <xdr:colOff>1019160</xdr:colOff>
      <xdr:row>6</xdr:row>
      <xdr:rowOff>141840</xdr:rowOff>
    </xdr:from>
    <xdr:to>
      <xdr:col>6</xdr:col>
      <xdr:colOff>1113840</xdr:colOff>
      <xdr:row>9</xdr:row>
      <xdr:rowOff>25200</xdr:rowOff>
    </xdr:to>
    <xdr:sp>
      <xdr:nvSpPr>
        <xdr:cNvPr id="3" name="Text Box 8"/>
        <xdr:cNvSpPr/>
      </xdr:nvSpPr>
      <xdr:spPr>
        <a:xfrm>
          <a:off x="4695120" y="1381320"/>
          <a:ext cx="1313280" cy="427680"/>
        </a:xfrm>
        <a:prstGeom prst="rect">
          <a:avLst/>
        </a:prstGeom>
        <a:noFill/>
        <a:ln cap="sq" w="936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vertOverflow="clip" lIns="20160" rIns="20160" tIns="20160" bIns="20160" anchor="t">
          <a:noAutofit/>
        </a:bodyPr>
        <a:p>
          <a:pPr algn="ctr">
            <a:lnSpc>
              <a:spcPct val="100000"/>
            </a:lnSpc>
          </a:pPr>
          <a:r>
            <a:rPr b="0" i="1" lang="en-US" sz="1100" spc="-1" strike="noStrike">
              <a:solidFill>
                <a:srgbClr val="000000"/>
              </a:solidFill>
              <a:latin typeface="Times New Roman CE"/>
            </a:rPr>
            <a:t>částka k vrácení</a:t>
          </a:r>
          <a:endParaRPr b="0" lang="en-US" sz="1100" spc="-1" strike="noStrike">
            <a:latin typeface="Times New Roman"/>
          </a:endParaRPr>
        </a:p>
      </xdr:txBody>
    </xdr:sp>
    <xdr:clientData/>
  </xdr:twoCellAnchor>
  <xdr:twoCellAnchor editAs="twoCell">
    <xdr:from>
      <xdr:col>0</xdr:col>
      <xdr:colOff>190440</xdr:colOff>
      <xdr:row>6</xdr:row>
      <xdr:rowOff>132480</xdr:rowOff>
    </xdr:from>
    <xdr:to>
      <xdr:col>3</xdr:col>
      <xdr:colOff>313560</xdr:colOff>
      <xdr:row>9</xdr:row>
      <xdr:rowOff>25560</xdr:rowOff>
    </xdr:to>
    <xdr:sp>
      <xdr:nvSpPr>
        <xdr:cNvPr id="4" name="Text Box 9"/>
        <xdr:cNvSpPr/>
      </xdr:nvSpPr>
      <xdr:spPr>
        <a:xfrm>
          <a:off x="190440" y="1371960"/>
          <a:ext cx="1423080" cy="437400"/>
        </a:xfrm>
        <a:prstGeom prst="rect">
          <a:avLst/>
        </a:prstGeom>
        <a:noFill/>
        <a:ln cap="sq" w="936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vertOverflow="clip" lIns="20160" rIns="20160" tIns="20160" bIns="20160" anchor="t">
          <a:noAutofit/>
        </a:bodyPr>
        <a:p>
          <a:pPr algn="ctr">
            <a:lnSpc>
              <a:spcPct val="100000"/>
            </a:lnSpc>
          </a:pPr>
          <a:r>
            <a:rPr b="0" i="1" lang="en-US" sz="1100" spc="-1" strike="noStrike">
              <a:solidFill>
                <a:srgbClr val="000000"/>
              </a:solidFill>
              <a:latin typeface="Times New Roman CE"/>
            </a:rPr>
            <a:t>organizace</a:t>
          </a:r>
          <a:endParaRPr b="0" lang="en-US" sz="11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1" i="1" lang="en-US" sz="1600" spc="-1" strike="noStrike">
              <a:solidFill>
                <a:srgbClr val="000000"/>
              </a:solidFill>
              <a:latin typeface="Times New Roman CE"/>
            </a:rPr>
            <a:t>Kondor</a:t>
          </a:r>
          <a:endParaRPr b="0" lang="en-US" sz="1600" spc="-1" strike="noStrike">
            <a:latin typeface="Times New Roman"/>
          </a:endParaRPr>
        </a:p>
      </xdr:txBody>
    </xdr:sp>
    <xdr:clientData/>
  </xdr:twoCellAnchor>
  <xdr:twoCellAnchor editAs="twoCell">
    <xdr:from>
      <xdr:col>0</xdr:col>
      <xdr:colOff>190440</xdr:colOff>
      <xdr:row>6</xdr:row>
      <xdr:rowOff>132480</xdr:rowOff>
    </xdr:from>
    <xdr:to>
      <xdr:col>3</xdr:col>
      <xdr:colOff>313560</xdr:colOff>
      <xdr:row>9</xdr:row>
      <xdr:rowOff>25560</xdr:rowOff>
    </xdr:to>
    <xdr:sp>
      <xdr:nvSpPr>
        <xdr:cNvPr id="5" name="Text Box 10"/>
        <xdr:cNvSpPr/>
      </xdr:nvSpPr>
      <xdr:spPr>
        <a:xfrm>
          <a:off x="190440" y="1371960"/>
          <a:ext cx="1423080" cy="437400"/>
        </a:xfrm>
        <a:prstGeom prst="rect">
          <a:avLst/>
        </a:prstGeom>
        <a:noFill/>
        <a:ln cap="sq" w="936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vertOverflow="clip" lIns="20160" rIns="20160" tIns="20160" bIns="20160" anchor="t">
          <a:noAutofit/>
        </a:bodyPr>
        <a:p>
          <a:pPr algn="ctr">
            <a:lnSpc>
              <a:spcPct val="100000"/>
            </a:lnSpc>
          </a:pPr>
          <a:r>
            <a:rPr b="0" i="1" lang="en-US" sz="1100" spc="-1" strike="noStrike">
              <a:solidFill>
                <a:srgbClr val="000000"/>
              </a:solidFill>
              <a:latin typeface="Times New Roman CE"/>
            </a:rPr>
            <a:t>organizace</a:t>
          </a:r>
          <a:endParaRPr b="0" lang="en-US" sz="11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1" i="1" lang="en-US" sz="1600" spc="-1" strike="noStrike">
              <a:solidFill>
                <a:srgbClr val="000000"/>
              </a:solidFill>
              <a:latin typeface="Times New Roman CE"/>
            </a:rPr>
            <a:t>Kondor</a:t>
          </a:r>
          <a:endParaRPr b="0" lang="en-US" sz="1600" spc="-1" strike="noStrike">
            <a:latin typeface="Times New Roman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19080</xdr:colOff>
      <xdr:row>2</xdr:row>
      <xdr:rowOff>27000</xdr:rowOff>
    </xdr:from>
    <xdr:to>
      <xdr:col>9</xdr:col>
      <xdr:colOff>532800</xdr:colOff>
      <xdr:row>4</xdr:row>
      <xdr:rowOff>73800</xdr:rowOff>
    </xdr:to>
    <xdr:sp>
      <xdr:nvSpPr>
        <xdr:cNvPr id="6" name="Text Box 12"/>
        <xdr:cNvSpPr/>
      </xdr:nvSpPr>
      <xdr:spPr>
        <a:xfrm>
          <a:off x="19080" y="618840"/>
          <a:ext cx="6363360" cy="370800"/>
        </a:xfrm>
        <a:prstGeom prst="rect">
          <a:avLst/>
        </a:prstGeom>
        <a:solidFill>
          <a:srgbClr val="ffffff"/>
        </a:solidFill>
        <a:ln cap="sq" w="936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vertOverflow="clip" lIns="20160" rIns="20160" tIns="20160" bIns="20160" anchor="t">
          <a:noAutofit/>
        </a:bodyPr>
        <a:p>
          <a:pPr algn="ctr">
            <a:lnSpc>
              <a:spcPct val="100000"/>
            </a:lnSpc>
          </a:pPr>
          <a:r>
            <a:rPr b="1" lang="en-US" sz="2200" spc="-1" strike="noStrike">
              <a:solidFill>
                <a:srgbClr val="000000"/>
              </a:solidFill>
              <a:latin typeface="Times New Roman CE"/>
            </a:rPr>
            <a:t>V y ú č t o v á n í  a k c e</a:t>
          </a:r>
          <a:endParaRPr b="0" lang="en-US" sz="2200" spc="-1" strike="noStrike">
            <a:latin typeface="Times New Roman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9360</xdr:colOff>
      <xdr:row>2</xdr:row>
      <xdr:rowOff>8280</xdr:rowOff>
    </xdr:from>
    <xdr:to>
      <xdr:col>9</xdr:col>
      <xdr:colOff>523080</xdr:colOff>
      <xdr:row>4</xdr:row>
      <xdr:rowOff>74160</xdr:rowOff>
    </xdr:to>
    <xdr:sp>
      <xdr:nvSpPr>
        <xdr:cNvPr id="7" name="Text 5"/>
        <xdr:cNvSpPr/>
      </xdr:nvSpPr>
      <xdr:spPr>
        <a:xfrm>
          <a:off x="9360" y="428760"/>
          <a:ext cx="6324120" cy="389520"/>
        </a:xfrm>
        <a:prstGeom prst="rect">
          <a:avLst/>
        </a:prstGeom>
        <a:solidFill>
          <a:srgbClr val="ffffff"/>
        </a:solidFill>
        <a:ln cap="sq" w="936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vertOverflow="clip" lIns="20160" rIns="20160" tIns="20160" bIns="20160" anchor="t">
          <a:noAutofit/>
        </a:bodyPr>
        <a:p>
          <a:pPr algn="ctr">
            <a:lnSpc>
              <a:spcPct val="100000"/>
            </a:lnSpc>
          </a:pPr>
          <a:r>
            <a:rPr b="1" lang="en-US" sz="2200" spc="-1" strike="noStrike">
              <a:solidFill>
                <a:srgbClr val="000000"/>
              </a:solidFill>
              <a:latin typeface="Times New Roman CE"/>
            </a:rPr>
            <a:t>V y ú č t o v á n í  a k c e</a:t>
          </a:r>
          <a:endParaRPr b="0" lang="en-US" sz="2200" spc="-1" strike="noStrike">
            <a:latin typeface="Times New Roman"/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190440</xdr:colOff>
      <xdr:row>2</xdr:row>
      <xdr:rowOff>16200</xdr:rowOff>
    </xdr:from>
    <xdr:to>
      <xdr:col>9</xdr:col>
      <xdr:colOff>37440</xdr:colOff>
      <xdr:row>7</xdr:row>
      <xdr:rowOff>82080</xdr:rowOff>
    </xdr:to>
    <xdr:sp>
      <xdr:nvSpPr>
        <xdr:cNvPr id="8" name="Text 1"/>
        <xdr:cNvSpPr/>
      </xdr:nvSpPr>
      <xdr:spPr>
        <a:xfrm>
          <a:off x="190440" y="428400"/>
          <a:ext cx="4800600" cy="8755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0160" rIns="20160" tIns="20160" bIns="20160" anchor="t">
          <a:noAutofit/>
        </a:bodyPr>
        <a:p>
          <a:pPr>
            <a:lnSpc>
              <a:spcPct val="100000"/>
            </a:lnSpc>
          </a:pPr>
          <a:r>
            <a:rPr b="1" i="1" lang="en-US" sz="1000" spc="-1" strike="noStrike">
              <a:solidFill>
                <a:srgbClr val="000000"/>
              </a:solidFill>
              <a:latin typeface="Times New Roman CE"/>
            </a:rPr>
            <a:t>Dotace se poskytuje</a:t>
          </a:r>
          <a:endParaRPr b="0" lang="en-US" sz="1000" spc="-1" strike="noStrike">
            <a:latin typeface="Times New Roman"/>
          </a:endParaRPr>
        </a:p>
        <a:p>
          <a:pPr>
            <a:lnSpc>
              <a:spcPct val="100000"/>
            </a:lnSpc>
          </a:pPr>
          <a:endParaRPr b="0" lang="en-US" sz="1000" spc="-1" strike="noStrike">
            <a:latin typeface="Times New Roman"/>
          </a:endParaRPr>
        </a:p>
        <a:p>
          <a:pPr>
            <a:lnSpc>
              <a:spcPct val="100000"/>
            </a:lnSpc>
          </a:pPr>
          <a:r>
            <a:rPr b="0" lang="en-US" sz="1000" spc="-1" strike="noStrike">
              <a:solidFill>
                <a:srgbClr val="000000"/>
              </a:solidFill>
              <a:latin typeface="Times New Roman CE"/>
            </a:rPr>
            <a:t>-       </a:t>
          </a:r>
          <a:r>
            <a:rPr b="1" lang="en-US" sz="1000" spc="-1" strike="noStrike">
              <a:solidFill>
                <a:srgbClr val="000000"/>
              </a:solidFill>
              <a:latin typeface="Times New Roman CE"/>
            </a:rPr>
            <a:t>pouze</a:t>
          </a:r>
          <a:r>
            <a:rPr b="0" lang="en-US" sz="1000" spc="-1" strike="noStrike">
              <a:solidFill>
                <a:srgbClr val="000000"/>
              </a:solidFill>
              <a:latin typeface="Times New Roman CE"/>
            </a:rPr>
            <a:t> na dopravu a ubytování, </a:t>
          </a:r>
          <a:r>
            <a:rPr b="1" lang="en-US" sz="1000" spc="-1" strike="noStrike">
              <a:solidFill>
                <a:srgbClr val="000000"/>
              </a:solidFill>
              <a:latin typeface="Times New Roman CE"/>
            </a:rPr>
            <a:t>pouze</a:t>
          </a:r>
          <a:r>
            <a:rPr b="0" lang="en-US" sz="1000" spc="-1" strike="noStrike">
              <a:solidFill>
                <a:srgbClr val="000000"/>
              </a:solidFill>
              <a:latin typeface="Times New Roman CE"/>
            </a:rPr>
            <a:t> pro pražské děti (do 18 let)</a:t>
          </a:r>
          <a:endParaRPr b="0" lang="en-US" sz="1000" spc="-1" strike="noStrike">
            <a:latin typeface="Times New Roman"/>
          </a:endParaRPr>
        </a:p>
        <a:p>
          <a:pPr>
            <a:lnSpc>
              <a:spcPct val="100000"/>
            </a:lnSpc>
          </a:pPr>
          <a:r>
            <a:rPr b="0" lang="en-US" sz="1000" spc="-1" strike="noStrike">
              <a:solidFill>
                <a:srgbClr val="000000"/>
              </a:solidFill>
              <a:latin typeface="Times New Roman CE"/>
            </a:rPr>
            <a:t>-       </a:t>
          </a:r>
          <a:r>
            <a:rPr b="1" lang="en-US" sz="1000" spc="-1" strike="noStrike">
              <a:solidFill>
                <a:srgbClr val="000000"/>
              </a:solidFill>
              <a:latin typeface="Times New Roman CE"/>
            </a:rPr>
            <a:t>pouze</a:t>
          </a:r>
          <a:r>
            <a:rPr b="0" lang="en-US" sz="1000" spc="-1" strike="noStrike">
              <a:solidFill>
                <a:srgbClr val="000000"/>
              </a:solidFill>
              <a:latin typeface="Times New Roman CE"/>
            </a:rPr>
            <a:t> na akce o minimálním počtu </a:t>
          </a:r>
          <a:r>
            <a:rPr b="1" lang="en-US" sz="1000" spc="-1" strike="noStrike">
              <a:solidFill>
                <a:srgbClr val="000000"/>
              </a:solidFill>
              <a:latin typeface="Times New Roman CE"/>
            </a:rPr>
            <a:t>8 dětí</a:t>
          </a:r>
          <a:endParaRPr b="0" lang="en-US" sz="1000" spc="-1" strike="noStrike">
            <a:latin typeface="Times New Roman"/>
          </a:endParaRPr>
        </a:p>
        <a:p>
          <a:pPr>
            <a:lnSpc>
              <a:spcPct val="100000"/>
            </a:lnSpc>
          </a:pPr>
          <a:r>
            <a:rPr b="1" lang="en-US" sz="1000" spc="-1" strike="noStrike">
              <a:solidFill>
                <a:srgbClr val="000000"/>
              </a:solidFill>
              <a:latin typeface="Times New Roman CE"/>
            </a:rPr>
            <a:t>-       pouze</a:t>
          </a:r>
          <a:r>
            <a:rPr b="0" lang="en-US" sz="1000" spc="-1" strike="noStrike">
              <a:solidFill>
                <a:srgbClr val="000000"/>
              </a:solidFill>
              <a:latin typeface="Times New Roman CE"/>
            </a:rPr>
            <a:t> na akce podané v projektu</a:t>
          </a:r>
          <a:endParaRPr b="0" lang="en-US" sz="1000" spc="-1" strike="noStrike">
            <a:latin typeface="Times New Roman"/>
          </a:endParaRPr>
        </a:p>
      </xdr:txBody>
    </xdr:sp>
    <xdr:clientData/>
  </xdr:twoCellAnchor>
  <xdr:twoCellAnchor editAs="twoCell">
    <xdr:from>
      <xdr:col>0</xdr:col>
      <xdr:colOff>200160</xdr:colOff>
      <xdr:row>8</xdr:row>
      <xdr:rowOff>6840</xdr:rowOff>
    </xdr:from>
    <xdr:to>
      <xdr:col>9</xdr:col>
      <xdr:colOff>523440</xdr:colOff>
      <xdr:row>27</xdr:row>
      <xdr:rowOff>91800</xdr:rowOff>
    </xdr:to>
    <xdr:sp>
      <xdr:nvSpPr>
        <xdr:cNvPr id="9" name="Text 2"/>
        <xdr:cNvSpPr/>
      </xdr:nvSpPr>
      <xdr:spPr>
        <a:xfrm>
          <a:off x="200160" y="1390680"/>
          <a:ext cx="5276880" cy="31615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0160" rIns="20160" tIns="20160" bIns="20160" anchor="t">
          <a:noAutofit/>
        </a:bodyPr>
        <a:p>
          <a:pPr>
            <a:lnSpc>
              <a:spcPts val="1100"/>
            </a:lnSpc>
          </a:pPr>
          <a:r>
            <a:rPr b="1" i="1" lang="en-US" sz="1000" spc="-1" strike="noStrike">
              <a:solidFill>
                <a:srgbClr val="000000"/>
              </a:solidFill>
              <a:latin typeface="Times New Roman CE"/>
            </a:rPr>
            <a:t>3 týdny před akcí s dobou trvání 4 a více dnů předložit Mártymu:</a:t>
          </a:r>
          <a:endParaRPr b="0" lang="en-US" sz="1000" spc="-1" strike="noStrike">
            <a:latin typeface="Times New Roman"/>
          </a:endParaRPr>
        </a:p>
        <a:p>
          <a:pPr>
            <a:lnSpc>
              <a:spcPts val="1100"/>
            </a:lnSpc>
          </a:pPr>
          <a:r>
            <a:rPr b="0" lang="en-US" sz="1000" spc="-1" strike="noStrike">
              <a:solidFill>
                <a:srgbClr val="000000"/>
              </a:solidFill>
              <a:latin typeface="Times New Roman CE"/>
            </a:rPr>
            <a:t>-       termín akce</a:t>
          </a:r>
          <a:endParaRPr b="0" lang="en-US" sz="1000" spc="-1" strike="noStrike">
            <a:latin typeface="Times New Roman"/>
          </a:endParaRPr>
        </a:p>
        <a:p>
          <a:pPr>
            <a:lnSpc>
              <a:spcPts val="1100"/>
            </a:lnSpc>
          </a:pPr>
          <a:r>
            <a:rPr b="0" lang="en-US" sz="1000" spc="-1" strike="noStrike">
              <a:solidFill>
                <a:srgbClr val="000000"/>
              </a:solidFill>
              <a:latin typeface="Times New Roman CE"/>
            </a:rPr>
            <a:t>-       předpokládaný počet dětí na akci</a:t>
          </a:r>
          <a:endParaRPr b="0" lang="en-US" sz="1000" spc="-1" strike="noStrike">
            <a:latin typeface="Times New Roman"/>
          </a:endParaRPr>
        </a:p>
        <a:p>
          <a:pPr>
            <a:lnSpc>
              <a:spcPts val="1100"/>
            </a:lnSpc>
          </a:pPr>
          <a:r>
            <a:rPr b="0" lang="en-US" sz="1000" spc="-1" strike="noStrike">
              <a:solidFill>
                <a:srgbClr val="000000"/>
              </a:solidFill>
              <a:latin typeface="Times New Roman CE"/>
            </a:rPr>
            <a:t>-       podrobný popis místa a konání akce</a:t>
          </a:r>
          <a:endParaRPr b="0" lang="en-US" sz="1000" spc="-1" strike="noStrike">
            <a:latin typeface="Times New Roman"/>
          </a:endParaRPr>
        </a:p>
        <a:p>
          <a:pPr>
            <a:lnSpc>
              <a:spcPts val="1100"/>
            </a:lnSpc>
          </a:pPr>
          <a:r>
            <a:rPr b="0" lang="en-US" sz="1000" spc="-1" strike="noStrike">
              <a:solidFill>
                <a:srgbClr val="000000"/>
              </a:solidFill>
              <a:latin typeface="Times New Roman CE"/>
            </a:rPr>
            <a:t>Vše na</a:t>
          </a:r>
          <a:r>
            <a:rPr b="1" lang="en-US" sz="1000" spc="-1" strike="noStrike">
              <a:solidFill>
                <a:srgbClr val="000000"/>
              </a:solidFill>
              <a:latin typeface="Times New Roman CE"/>
            </a:rPr>
            <a:t> jedné straně A4,</a:t>
          </a:r>
          <a:r>
            <a:rPr b="0" lang="en-US" sz="1000" spc="-1" strike="noStrike">
              <a:solidFill>
                <a:srgbClr val="000000"/>
              </a:solidFill>
              <a:latin typeface="Times New Roman CE"/>
            </a:rPr>
            <a:t> opatřené</a:t>
          </a:r>
          <a:r>
            <a:rPr b="1" lang="en-US" sz="1000" spc="-1" strike="noStrike">
              <a:solidFill>
                <a:srgbClr val="000000"/>
              </a:solidFill>
              <a:latin typeface="Times New Roman CE"/>
            </a:rPr>
            <a:t> razítkem skupiny a podpisem vedoucího akce</a:t>
          </a:r>
          <a:endParaRPr b="0" lang="en-US" sz="1000" spc="-1" strike="noStrike">
            <a:latin typeface="Times New Roman"/>
          </a:endParaRPr>
        </a:p>
        <a:p>
          <a:pPr>
            <a:lnSpc>
              <a:spcPts val="1100"/>
            </a:lnSpc>
          </a:pPr>
          <a:endParaRPr b="0" lang="en-US" sz="1000" spc="-1" strike="noStrike">
            <a:latin typeface="Times New Roman"/>
          </a:endParaRPr>
        </a:p>
        <a:p>
          <a:pPr>
            <a:lnSpc>
              <a:spcPts val="1100"/>
            </a:lnSpc>
          </a:pPr>
          <a:r>
            <a:rPr b="1" i="1" lang="en-US" sz="1000" spc="-1" strike="noStrike">
              <a:solidFill>
                <a:srgbClr val="000000"/>
              </a:solidFill>
              <a:latin typeface="Times New Roman CE"/>
            </a:rPr>
            <a:t>Pro každou akci je třeba předložit</a:t>
          </a:r>
          <a:endParaRPr b="0" lang="en-US" sz="1000" spc="-1" strike="noStrike">
            <a:latin typeface="Times New Roman"/>
          </a:endParaRPr>
        </a:p>
        <a:p>
          <a:pPr>
            <a:lnSpc>
              <a:spcPts val="1100"/>
            </a:lnSpc>
          </a:pPr>
          <a:r>
            <a:rPr b="0" lang="en-US" sz="1000" spc="-1" strike="noStrike">
              <a:solidFill>
                <a:srgbClr val="000000"/>
              </a:solidFill>
              <a:latin typeface="Times New Roman CE"/>
            </a:rPr>
            <a:t>-       Formulář  </a:t>
          </a:r>
          <a:r>
            <a:rPr b="1" lang="en-US" sz="1000" spc="-1" strike="noStrike">
              <a:solidFill>
                <a:srgbClr val="000000"/>
              </a:solidFill>
              <a:latin typeface="Times New Roman CE"/>
            </a:rPr>
            <a:t>VYÚČTOVÁNÍ AKCE </a:t>
          </a:r>
          <a:r>
            <a:rPr b="0" lang="en-US" sz="1000" spc="-1" strike="noStrike">
              <a:solidFill>
                <a:srgbClr val="000000"/>
              </a:solidFill>
              <a:latin typeface="Times New Roman CE"/>
            </a:rPr>
            <a:t>- </a:t>
          </a:r>
          <a:r>
            <a:rPr b="1" lang="en-US" sz="1000" spc="-1" strike="noStrike">
              <a:solidFill>
                <a:srgbClr val="000000"/>
              </a:solidFill>
              <a:latin typeface="Times New Roman CE"/>
            </a:rPr>
            <a:t>2 x</a:t>
          </a:r>
          <a:r>
            <a:rPr b="0" lang="en-US" sz="1000" spc="-1" strike="noStrike">
              <a:solidFill>
                <a:srgbClr val="000000"/>
              </a:solidFill>
              <a:latin typeface="Times New Roman CE"/>
            </a:rPr>
            <a:t> kopie opatřené </a:t>
          </a:r>
          <a:r>
            <a:rPr b="1" lang="en-US" sz="1000" spc="-1" strike="noStrike">
              <a:solidFill>
                <a:srgbClr val="000000"/>
              </a:solidFill>
              <a:latin typeface="Times New Roman CE"/>
            </a:rPr>
            <a:t>Razítkem skupiny a podpisem </a:t>
          </a:r>
          <a:endParaRPr b="0" lang="en-US" sz="1000" spc="-1" strike="noStrike">
            <a:latin typeface="Times New Roman"/>
          </a:endParaRPr>
        </a:p>
        <a:p>
          <a:pPr>
            <a:lnSpc>
              <a:spcPts val="1100"/>
            </a:lnSpc>
          </a:pPr>
          <a:r>
            <a:rPr b="1" lang="en-US" sz="1000" spc="-1" strike="noStrike">
              <a:solidFill>
                <a:srgbClr val="000000"/>
              </a:solidFill>
              <a:latin typeface="Times New Roman CE"/>
            </a:rPr>
            <a:t>        </a:t>
          </a:r>
          <a:r>
            <a:rPr b="1" lang="en-US" sz="1000" spc="-1" strike="noStrike">
              <a:solidFill>
                <a:srgbClr val="000000"/>
              </a:solidFill>
              <a:latin typeface="Times New Roman CE"/>
            </a:rPr>
            <a:t>hospodáře akce</a:t>
          </a:r>
          <a:endParaRPr b="0" lang="en-US" sz="1000" spc="-1" strike="noStrike">
            <a:latin typeface="Times New Roman"/>
          </a:endParaRPr>
        </a:p>
        <a:p>
          <a:pPr>
            <a:lnSpc>
              <a:spcPts val="1100"/>
            </a:lnSpc>
          </a:pPr>
          <a:r>
            <a:rPr b="1" lang="en-US" sz="1000" spc="-1" strike="noStrike">
              <a:solidFill>
                <a:srgbClr val="000000"/>
              </a:solidFill>
              <a:latin typeface="Times New Roman CE"/>
            </a:rPr>
            <a:t>-       </a:t>
          </a:r>
          <a:r>
            <a:rPr b="0" lang="en-US" sz="1000" spc="-1" strike="noStrike">
              <a:solidFill>
                <a:srgbClr val="000000"/>
              </a:solidFill>
              <a:latin typeface="Times New Roman CE"/>
            </a:rPr>
            <a:t>Seznamy dětí - </a:t>
          </a:r>
          <a:r>
            <a:rPr b="1" lang="en-US" sz="1000" spc="-1" strike="noStrike">
              <a:solidFill>
                <a:srgbClr val="000000"/>
              </a:solidFill>
              <a:latin typeface="Times New Roman CE"/>
            </a:rPr>
            <a:t>2 x</a:t>
          </a:r>
          <a:r>
            <a:rPr b="0" lang="en-US" sz="1000" spc="-1" strike="noStrike">
              <a:solidFill>
                <a:srgbClr val="000000"/>
              </a:solidFill>
              <a:latin typeface="Times New Roman CE"/>
            </a:rPr>
            <a:t> kopie opatřené </a:t>
          </a:r>
          <a:r>
            <a:rPr b="1" lang="en-US" sz="1000" spc="-1" strike="noStrike">
              <a:solidFill>
                <a:srgbClr val="000000"/>
              </a:solidFill>
              <a:latin typeface="Times New Roman CE"/>
            </a:rPr>
            <a:t>Razítkem skupiny a podpisem hospodáře akce</a:t>
          </a:r>
          <a:endParaRPr b="0" lang="en-US" sz="1000" spc="-1" strike="noStrike">
            <a:latin typeface="Times New Roman"/>
          </a:endParaRPr>
        </a:p>
        <a:p>
          <a:pPr>
            <a:lnSpc>
              <a:spcPts val="1100"/>
            </a:lnSpc>
          </a:pPr>
          <a:r>
            <a:rPr b="1" lang="en-US" sz="1000" spc="-1" strike="noStrike">
              <a:solidFill>
                <a:srgbClr val="000000"/>
              </a:solidFill>
              <a:latin typeface="Times New Roman CE"/>
            </a:rPr>
            <a:t>-       1 x </a:t>
          </a:r>
          <a:r>
            <a:rPr b="0" lang="en-US" sz="1000" spc="-1" strike="noStrike">
              <a:solidFill>
                <a:srgbClr val="000000"/>
              </a:solidFill>
              <a:latin typeface="Times New Roman CE"/>
            </a:rPr>
            <a:t>kopie prvotních dokladů z akce (pro kontrolu KRK KONDORA) na položky, na něž </a:t>
          </a:r>
          <a:endParaRPr b="0" lang="en-US" sz="1000" spc="-1" strike="noStrike">
            <a:latin typeface="Times New Roman"/>
          </a:endParaRPr>
        </a:p>
        <a:p>
          <a:pPr>
            <a:lnSpc>
              <a:spcPts val="1100"/>
            </a:lnSpc>
          </a:pPr>
          <a:r>
            <a:rPr b="0" lang="en-US" sz="1000" spc="-1" strike="noStrike">
              <a:solidFill>
                <a:srgbClr val="000000"/>
              </a:solidFill>
              <a:latin typeface="Times New Roman CE"/>
            </a:rPr>
            <a:t>        </a:t>
          </a:r>
          <a:r>
            <a:rPr b="0" lang="en-US" sz="1000" spc="-1" strike="noStrike">
              <a:solidFill>
                <a:srgbClr val="000000"/>
              </a:solidFill>
              <a:latin typeface="Times New Roman CE"/>
            </a:rPr>
            <a:t>je požadována dotace. Doklady musí být </a:t>
          </a:r>
          <a:r>
            <a:rPr b="1" lang="en-US" sz="1000" spc="-1" strike="noStrike">
              <a:solidFill>
                <a:srgbClr val="000000"/>
              </a:solidFill>
              <a:latin typeface="Times New Roman CE"/>
            </a:rPr>
            <a:t>pro každou akci na zvlaštním papíře.  </a:t>
          </a:r>
          <a:endParaRPr b="0" lang="en-US" sz="1000" spc="-1" strike="noStrike">
            <a:latin typeface="Times New Roman"/>
          </a:endParaRPr>
        </a:p>
        <a:p>
          <a:pPr>
            <a:lnSpc>
              <a:spcPts val="1100"/>
            </a:lnSpc>
          </a:pPr>
          <a:r>
            <a:rPr b="1" lang="en-US" sz="1000" spc="-1" strike="noStrike">
              <a:solidFill>
                <a:srgbClr val="000000"/>
              </a:solidFill>
              <a:latin typeface="Times New Roman CE"/>
            </a:rPr>
            <a:t>        </a:t>
          </a:r>
          <a:r>
            <a:rPr b="0" lang="en-US" sz="1000" spc="-1" strike="noStrike">
              <a:solidFill>
                <a:srgbClr val="000000"/>
              </a:solidFill>
              <a:latin typeface="Times New Roman CE"/>
            </a:rPr>
            <a:t>Z vyúčtování musí být patrné, že dotace byla použita </a:t>
          </a:r>
          <a:r>
            <a:rPr b="1" lang="en-US" sz="1000" spc="-1" strike="noStrike">
              <a:solidFill>
                <a:srgbClr val="000000"/>
              </a:solidFill>
              <a:latin typeface="Times New Roman CE"/>
            </a:rPr>
            <a:t>POUZE</a:t>
          </a:r>
          <a:r>
            <a:rPr b="0" lang="en-US" sz="1000" spc="-1" strike="noStrike">
              <a:solidFill>
                <a:srgbClr val="000000"/>
              </a:solidFill>
              <a:latin typeface="Times New Roman CE"/>
            </a:rPr>
            <a:t> pro</a:t>
          </a:r>
          <a:r>
            <a:rPr b="1" lang="en-US" sz="1000" spc="-1" strike="noStrike">
              <a:solidFill>
                <a:srgbClr val="000000"/>
              </a:solidFill>
              <a:latin typeface="Times New Roman CE"/>
            </a:rPr>
            <a:t> PRAŽSKÉ </a:t>
          </a:r>
          <a:r>
            <a:rPr b="0" lang="en-US" sz="1000" spc="-1" strike="noStrike">
              <a:solidFill>
                <a:srgbClr val="000000"/>
              </a:solidFill>
              <a:latin typeface="Times New Roman CE"/>
            </a:rPr>
            <a:t>děti</a:t>
          </a:r>
          <a:endParaRPr b="0" lang="en-US" sz="1000" spc="-1" strike="noStrike">
            <a:latin typeface="Times New Roman"/>
          </a:endParaRPr>
        </a:p>
        <a:p>
          <a:pPr>
            <a:lnSpc>
              <a:spcPts val="1100"/>
            </a:lnSpc>
          </a:pPr>
          <a:r>
            <a:rPr b="0" lang="en-US" sz="1000" spc="-1" strike="noStrike">
              <a:solidFill>
                <a:srgbClr val="000000"/>
              </a:solidFill>
              <a:latin typeface="Times New Roman CE"/>
            </a:rPr>
            <a:t>        </a:t>
          </a:r>
          <a:r>
            <a:rPr b="0" lang="en-US" sz="1000" spc="-1" strike="noStrike">
              <a:solidFill>
                <a:srgbClr val="000000"/>
              </a:solidFill>
              <a:latin typeface="Times New Roman CE"/>
            </a:rPr>
            <a:t>(tzn. započítat pouze dětské náklady, kde to není možné, tak započítat jen poměrnou část </a:t>
          </a:r>
          <a:endParaRPr b="0" lang="en-US" sz="1000" spc="-1" strike="noStrike">
            <a:latin typeface="Times New Roman"/>
          </a:endParaRPr>
        </a:p>
        <a:p>
          <a:pPr>
            <a:lnSpc>
              <a:spcPts val="1100"/>
            </a:lnSpc>
          </a:pPr>
          <a:r>
            <a:rPr b="0" lang="en-US" sz="1000" spc="-1" strike="noStrike">
              <a:solidFill>
                <a:srgbClr val="000000"/>
              </a:solidFill>
              <a:latin typeface="Times New Roman CE"/>
            </a:rPr>
            <a:t>        </a:t>
          </a:r>
          <a:r>
            <a:rPr b="0" lang="en-US" sz="1000" spc="-1" strike="noStrike">
              <a:solidFill>
                <a:srgbClr val="000000"/>
              </a:solidFill>
              <a:latin typeface="Times New Roman CE"/>
            </a:rPr>
            <a:t>nákladů).</a:t>
          </a:r>
          <a:endParaRPr b="0" lang="en-US" sz="1000" spc="-1" strike="noStrike">
            <a:latin typeface="Times New Roman"/>
          </a:endParaRPr>
        </a:p>
        <a:p>
          <a:pPr>
            <a:lnSpc>
              <a:spcPts val="1100"/>
            </a:lnSpc>
          </a:pPr>
          <a:endParaRPr b="0" lang="en-US" sz="1000" spc="-1" strike="noStrike">
            <a:latin typeface="Times New Roman"/>
          </a:endParaRPr>
        </a:p>
        <a:p>
          <a:pPr>
            <a:lnSpc>
              <a:spcPts val="1100"/>
            </a:lnSpc>
          </a:pPr>
          <a:r>
            <a:rPr b="0" lang="en-US" sz="1000" spc="-1" strike="noStrike">
              <a:solidFill>
                <a:srgbClr val="000000"/>
              </a:solidFill>
              <a:latin typeface="Times New Roman CE"/>
            </a:rPr>
            <a:t>POZN:   Prvotním dokladem se rozumí Paragon (náležitosti: Název zboží, množství zboží, cena,</a:t>
          </a:r>
          <a:endParaRPr b="0" lang="en-US" sz="1000" spc="-1" strike="noStrike">
            <a:latin typeface="Times New Roman"/>
          </a:endParaRPr>
        </a:p>
        <a:p>
          <a:pPr>
            <a:lnSpc>
              <a:spcPct val="100000"/>
            </a:lnSpc>
          </a:pPr>
          <a:r>
            <a:rPr b="0" lang="en-US" sz="1000" spc="-1" strike="noStrike">
              <a:solidFill>
                <a:srgbClr val="000000"/>
              </a:solidFill>
              <a:latin typeface="Times New Roman CE"/>
            </a:rPr>
            <a:t>               </a:t>
          </a:r>
          <a:r>
            <a:rPr b="0" lang="en-US" sz="1000" spc="-1" strike="noStrike">
              <a:solidFill>
                <a:srgbClr val="000000"/>
              </a:solidFill>
              <a:latin typeface="Times New Roman CE"/>
            </a:rPr>
            <a:t>datum, podpis prodavajiciho)  nebo Faktura (náležitosti viz. Paragon + při platbě </a:t>
          </a:r>
          <a:endParaRPr b="0" lang="en-US" sz="1000" spc="-1" strike="noStrike">
            <a:latin typeface="Times New Roman"/>
          </a:endParaRPr>
        </a:p>
        <a:p>
          <a:pPr>
            <a:lnSpc>
              <a:spcPct val="100000"/>
            </a:lnSpc>
          </a:pPr>
          <a:r>
            <a:rPr b="0" lang="en-US" sz="1000" spc="-1" strike="noStrike">
              <a:solidFill>
                <a:srgbClr val="000000"/>
              </a:solidFill>
              <a:latin typeface="Times New Roman CE"/>
            </a:rPr>
            <a:t>                </a:t>
          </a:r>
          <a:r>
            <a:rPr b="0" lang="en-US" sz="1000" spc="-1" strike="noStrike">
              <a:solidFill>
                <a:srgbClr val="000000"/>
              </a:solidFill>
              <a:latin typeface="Times New Roman CE"/>
            </a:rPr>
            <a:t>v hotovosti s doložkou "Zaplaceno hotově", při platbě přes účet kopii výpisu z účtu).</a:t>
          </a:r>
          <a:endParaRPr b="0" lang="en-US" sz="1000" spc="-1" strike="noStrike">
            <a:latin typeface="Times New Roman"/>
          </a:endParaRPr>
        </a:p>
        <a:p>
          <a:pPr>
            <a:lnSpc>
              <a:spcPct val="100000"/>
            </a:lnSpc>
          </a:pPr>
          <a:endParaRPr b="0" lang="en-US" sz="1000" spc="-1" strike="noStrike">
            <a:latin typeface="Times New Roman"/>
          </a:endParaRPr>
        </a:p>
        <a:p>
          <a:pPr>
            <a:lnSpc>
              <a:spcPct val="100000"/>
            </a:lnSpc>
          </a:pPr>
          <a:r>
            <a:rPr b="1" lang="en-US" sz="1000" spc="-1" strike="noStrike">
              <a:solidFill>
                <a:srgbClr val="000000"/>
              </a:solidFill>
              <a:latin typeface="Times New Roman CE"/>
            </a:rPr>
            <a:t>Vše musí být na listu formátu </a:t>
          </a:r>
          <a:r>
            <a:rPr b="1" i="1" lang="en-US" sz="1000" spc="-1" strike="noStrike" u="sng">
              <a:solidFill>
                <a:srgbClr val="000000"/>
              </a:solidFill>
              <a:uFillTx/>
              <a:latin typeface="Times New Roman CE"/>
            </a:rPr>
            <a:t>A4, </a:t>
          </a:r>
          <a:r>
            <a:rPr b="0" lang="en-US" sz="1000" spc="-1" strike="noStrike">
              <a:solidFill>
                <a:srgbClr val="000000"/>
              </a:solidFill>
              <a:latin typeface="Times New Roman CE"/>
            </a:rPr>
            <a:t>kopie </a:t>
          </a:r>
          <a:r>
            <a:rPr b="1" lang="en-US" sz="1000" spc="-1" strike="noStrike">
              <a:solidFill>
                <a:srgbClr val="000000"/>
              </a:solidFill>
              <a:latin typeface="Times New Roman CE"/>
            </a:rPr>
            <a:t>jednostranně </a:t>
          </a:r>
          <a:r>
            <a:rPr b="0" lang="en-US" sz="1000" spc="-1" strike="noStrike">
              <a:solidFill>
                <a:srgbClr val="000000"/>
              </a:solidFill>
              <a:latin typeface="Times New Roman CE"/>
            </a:rPr>
            <a:t>(pro další kopírování a kontroly)</a:t>
          </a:r>
          <a:endParaRPr b="0" lang="en-US" sz="1000" spc="-1" strike="noStrike">
            <a:latin typeface="Times New Roman"/>
          </a:endParaRPr>
        </a:p>
        <a:p>
          <a:pPr>
            <a:lnSpc>
              <a:spcPct val="100000"/>
            </a:lnSpc>
          </a:pPr>
          <a:endParaRPr b="0" lang="en-US" sz="1000" spc="-1" strike="noStrike">
            <a:latin typeface="Times New Roman"/>
          </a:endParaRPr>
        </a:p>
        <a:p>
          <a:pPr>
            <a:lnSpc>
              <a:spcPct val="100000"/>
            </a:lnSpc>
          </a:pPr>
          <a:endParaRPr b="0" lang="en-US" sz="1000" spc="-1" strike="noStrike">
            <a:latin typeface="Times New Roman"/>
          </a:endParaRP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19080</xdr:colOff>
      <xdr:row>2</xdr:row>
      <xdr:rowOff>103320</xdr:rowOff>
    </xdr:from>
    <xdr:to>
      <xdr:col>7</xdr:col>
      <xdr:colOff>27720</xdr:colOff>
      <xdr:row>5</xdr:row>
      <xdr:rowOff>45360</xdr:rowOff>
    </xdr:to>
    <xdr:sp>
      <xdr:nvSpPr>
        <xdr:cNvPr id="10" name="Text 2"/>
        <xdr:cNvSpPr/>
      </xdr:nvSpPr>
      <xdr:spPr>
        <a:xfrm>
          <a:off x="19080" y="523800"/>
          <a:ext cx="6071040" cy="427680"/>
        </a:xfrm>
        <a:prstGeom prst="rect">
          <a:avLst/>
        </a:prstGeom>
        <a:noFill/>
        <a:ln cap="sq" w="936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vertOverflow="clip" lIns="20160" rIns="20160" tIns="20160" bIns="20160" anchor="t">
          <a:noAutofit/>
        </a:bodyPr>
        <a:p>
          <a:pPr algn="ctr">
            <a:lnSpc>
              <a:spcPct val="100000"/>
            </a:lnSpc>
          </a:pPr>
          <a:r>
            <a:rPr b="1" lang="en-US" sz="2200" spc="-1" strike="noStrike">
              <a:solidFill>
                <a:srgbClr val="000000"/>
              </a:solidFill>
              <a:latin typeface="Times New Roman CE"/>
            </a:rPr>
            <a:t>Zhodnocení a přínos daru k proj. č.               </a:t>
          </a:r>
          <a:endParaRPr b="0" lang="en-US" sz="2200" spc="-1" strike="noStrike">
            <a:latin typeface="Times New Roman"/>
          </a:endParaRPr>
        </a:p>
      </xdr:txBody>
    </xdr:sp>
    <xdr:clientData/>
  </xdr:twoCellAnchor>
  <xdr:twoCellAnchor editAs="twoCell">
    <xdr:from>
      <xdr:col>0</xdr:col>
      <xdr:colOff>171360</xdr:colOff>
      <xdr:row>6</xdr:row>
      <xdr:rowOff>113040</xdr:rowOff>
    </xdr:from>
    <xdr:to>
      <xdr:col>3</xdr:col>
      <xdr:colOff>294480</xdr:colOff>
      <xdr:row>9</xdr:row>
      <xdr:rowOff>6480</xdr:rowOff>
    </xdr:to>
    <xdr:sp>
      <xdr:nvSpPr>
        <xdr:cNvPr id="11" name="Text 3"/>
        <xdr:cNvSpPr/>
      </xdr:nvSpPr>
      <xdr:spPr>
        <a:xfrm>
          <a:off x="171360" y="1181160"/>
          <a:ext cx="1423080" cy="437760"/>
        </a:xfrm>
        <a:prstGeom prst="rect">
          <a:avLst/>
        </a:prstGeom>
        <a:noFill/>
        <a:ln cap="sq" w="936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vertOverflow="clip" lIns="20160" rIns="20160" tIns="20160" bIns="20160" anchor="t">
          <a:noAutofit/>
        </a:bodyPr>
        <a:p>
          <a:pPr algn="ctr">
            <a:lnSpc>
              <a:spcPct val="100000"/>
            </a:lnSpc>
          </a:pPr>
          <a:r>
            <a:rPr b="0" i="1" lang="en-US" sz="1100" spc="-1" strike="noStrike">
              <a:solidFill>
                <a:srgbClr val="000000"/>
              </a:solidFill>
              <a:latin typeface="Times New Roman CE"/>
            </a:rPr>
            <a:t>organizace</a:t>
          </a:r>
          <a:endParaRPr b="0" lang="en-US" sz="11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1" i="1" lang="en-US" sz="1600" spc="-1" strike="noStrike">
              <a:solidFill>
                <a:srgbClr val="000000"/>
              </a:solidFill>
              <a:latin typeface="Times New Roman CE"/>
            </a:rPr>
            <a:t>Kondor</a:t>
          </a:r>
          <a:endParaRPr b="0" lang="en-US" sz="1600" spc="-1" strike="noStrike">
            <a:latin typeface="Times New Roman"/>
          </a:endParaRPr>
        </a:p>
      </xdr:txBody>
    </xdr:sp>
    <xdr:clientData/>
  </xdr:twoCellAnchor>
  <xdr:twoCellAnchor editAs="twoCell">
    <xdr:from>
      <xdr:col>3</xdr:col>
      <xdr:colOff>590400</xdr:colOff>
      <xdr:row>6</xdr:row>
      <xdr:rowOff>103320</xdr:rowOff>
    </xdr:from>
    <xdr:to>
      <xdr:col>4</xdr:col>
      <xdr:colOff>1637280</xdr:colOff>
      <xdr:row>9</xdr:row>
      <xdr:rowOff>15480</xdr:rowOff>
    </xdr:to>
    <xdr:sp>
      <xdr:nvSpPr>
        <xdr:cNvPr id="12" name="Text 4"/>
        <xdr:cNvSpPr/>
      </xdr:nvSpPr>
      <xdr:spPr>
        <a:xfrm>
          <a:off x="1890360" y="1171440"/>
          <a:ext cx="1691280" cy="456480"/>
        </a:xfrm>
        <a:prstGeom prst="rect">
          <a:avLst/>
        </a:prstGeom>
        <a:noFill/>
        <a:ln cap="sq" w="936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vertOverflow="clip" lIns="20160" rIns="20160" tIns="20160" bIns="20160" anchor="t">
          <a:noAutofit/>
        </a:bodyPr>
        <a:p>
          <a:pPr algn="ctr">
            <a:lnSpc>
              <a:spcPct val="100000"/>
            </a:lnSpc>
          </a:pPr>
          <a:r>
            <a:rPr b="0" i="1" lang="en-US" sz="1100" spc="-1" strike="noStrike">
              <a:solidFill>
                <a:srgbClr val="000000"/>
              </a:solidFill>
              <a:latin typeface="Times New Roman CE"/>
            </a:rPr>
            <a:t>skupina</a:t>
          </a:r>
          <a:endParaRPr b="0" lang="en-US" sz="11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endParaRPr b="0" lang="en-US" sz="1100" spc="-1" strike="noStrike">
            <a:latin typeface="Times New Roman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3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4.v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5.v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comments" Target="../comments12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6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10" activeCellId="0" sqref="F10"/>
    </sheetView>
  </sheetViews>
  <sheetFormatPr defaultColWidth="8.71484375" defaultRowHeight="12.75" zeroHeight="false" outlineLevelRow="0" outlineLevelCol="0"/>
  <cols>
    <col collapsed="false" customWidth="true" hidden="false" outlineLevel="0" max="1" min="1" style="1" width="3.15"/>
    <col collapsed="false" customWidth="true" hidden="false" outlineLevel="0" max="2" min="2" style="1" width="7"/>
    <col collapsed="false" customWidth="true" hidden="false" outlineLevel="0" max="3" min="3" style="1" width="8.29"/>
    <col collapsed="false" customWidth="true" hidden="false" outlineLevel="0" max="4" min="4" style="1" width="9.14"/>
    <col collapsed="false" customWidth="true" hidden="false" outlineLevel="0" max="5" min="5" style="1" width="24.57"/>
    <col collapsed="false" customWidth="true" hidden="false" outlineLevel="0" max="6" min="6" style="1" width="17.29"/>
    <col collapsed="false" customWidth="true" hidden="false" outlineLevel="0" max="7" min="7" style="1" width="21.14"/>
    <col collapsed="false" customWidth="false" hidden="false" outlineLevel="0" max="8" min="8" style="1" width="8.71"/>
    <col collapsed="false" customWidth="true" hidden="false" outlineLevel="0" max="9" min="9" style="1" width="10.57"/>
    <col collapsed="false" customWidth="false" hidden="false" outlineLevel="0" max="16384" min="10" style="1" width="8.71"/>
  </cols>
  <sheetData>
    <row r="1" s="3" customFormat="true" ht="17.35" hidden="false" customHeight="false" outlineLevel="0" collapsed="false">
      <c r="A1" s="2" t="s">
        <v>0</v>
      </c>
      <c r="B1" s="2"/>
      <c r="C1" s="2"/>
      <c r="D1" s="2"/>
      <c r="E1" s="2"/>
      <c r="F1" s="2"/>
      <c r="G1" s="2"/>
    </row>
    <row r="2" s="3" customFormat="true" ht="29.25" hidden="false" customHeight="true" outlineLevel="0" collapsed="false">
      <c r="A2" s="4" t="s">
        <v>1</v>
      </c>
      <c r="B2" s="4"/>
      <c r="C2" s="4"/>
      <c r="D2" s="4"/>
      <c r="E2" s="4"/>
      <c r="F2" s="4"/>
      <c r="G2" s="4"/>
    </row>
    <row r="3" s="7" customFormat="true" ht="12.75" hidden="false" customHeight="false" outlineLevel="0" collapsed="false">
      <c r="A3" s="5"/>
      <c r="B3" s="5"/>
      <c r="C3" s="5"/>
      <c r="D3" s="5"/>
      <c r="E3" s="5"/>
      <c r="F3" s="5"/>
      <c r="G3" s="6"/>
    </row>
    <row r="4" s="7" customFormat="true" ht="12.75" hidden="false" customHeight="false" outlineLevel="0" collapsed="false">
      <c r="A4" s="5"/>
      <c r="B4" s="5"/>
      <c r="C4" s="5"/>
      <c r="D4" s="5"/>
      <c r="E4" s="5"/>
      <c r="F4" s="5"/>
      <c r="G4" s="6"/>
    </row>
    <row r="5" s="7" customFormat="true" ht="12.75" hidden="false" customHeight="false" outlineLevel="0" collapsed="false">
      <c r="A5" s="5"/>
      <c r="B5" s="5"/>
      <c r="C5" s="5"/>
      <c r="D5" s="5"/>
      <c r="E5" s="5"/>
      <c r="F5" s="5"/>
      <c r="G5" s="6"/>
    </row>
    <row r="6" s="7" customFormat="true" ht="12.75" hidden="false" customHeight="false" outlineLevel="0" collapsed="false">
      <c r="A6" s="8"/>
      <c r="B6" s="8"/>
      <c r="C6" s="8"/>
      <c r="D6" s="8"/>
      <c r="E6" s="8"/>
      <c r="F6" s="8"/>
    </row>
    <row r="7" customFormat="false" ht="12.75" hidden="false" customHeight="false" outlineLevel="0" collapsed="false">
      <c r="A7" s="9"/>
      <c r="B7" s="9"/>
      <c r="C7" s="9"/>
      <c r="D7" s="9"/>
      <c r="E7" s="9"/>
      <c r="F7" s="9"/>
    </row>
    <row r="8" customFormat="false" ht="12.75" hidden="false" customHeight="false" outlineLevel="0" collapsed="false">
      <c r="A8" s="9"/>
      <c r="B8" s="9"/>
      <c r="C8" s="9"/>
      <c r="D8" s="9"/>
      <c r="E8" s="9"/>
      <c r="F8" s="9"/>
    </row>
    <row r="9" customFormat="false" ht="17.35" hidden="false" customHeight="false" outlineLevel="0" collapsed="false">
      <c r="A9" s="9"/>
      <c r="B9" s="9"/>
      <c r="C9" s="9"/>
      <c r="D9" s="9"/>
      <c r="E9" s="10" t="n">
        <f aca="false">IF(F9&lt;&gt;"",E10,"")</f>
        <v>0</v>
      </c>
      <c r="F9" s="10" t="n">
        <f aca="false">IF(SUM(G15:G41)&lt;&gt;0,SUM(G15:G41),"")</f>
        <v>1000</v>
      </c>
      <c r="G9" s="11" t="n">
        <f aca="false">IF(LEN(F9)=0,"",(MAX(E9-F9,0)))</f>
        <v>0</v>
      </c>
    </row>
    <row r="10" customFormat="false" ht="12.75" hidden="false" customHeight="false" outlineLevel="0" collapsed="false">
      <c r="A10" s="9"/>
      <c r="B10" s="9"/>
      <c r="C10" s="9"/>
      <c r="D10" s="9"/>
      <c r="E10" s="12"/>
      <c r="F10" s="9"/>
    </row>
    <row r="11" customFormat="false" ht="17.35" hidden="false" customHeight="false" outlineLevel="0" collapsed="false">
      <c r="A11" s="13" t="s">
        <v>2</v>
      </c>
      <c r="D11" s="14"/>
      <c r="E11" s="15" t="s">
        <v>3</v>
      </c>
      <c r="F11" s="16"/>
    </row>
    <row r="12" customFormat="false" ht="18.75" hidden="false" customHeight="true" outlineLevel="0" collapsed="false">
      <c r="A12" s="17" t="s">
        <v>4</v>
      </c>
      <c r="C12" s="18"/>
      <c r="D12" s="18"/>
      <c r="E12" s="18"/>
      <c r="F12" s="18"/>
      <c r="G12" s="18"/>
    </row>
    <row r="13" customFormat="false" ht="12.75" hidden="false" customHeight="false" outlineLevel="0" collapsed="false">
      <c r="A13" s="19"/>
      <c r="B13" s="9"/>
      <c r="C13" s="9"/>
      <c r="D13" s="20"/>
      <c r="E13" s="21"/>
      <c r="F13" s="21"/>
    </row>
    <row r="14" customFormat="false" ht="26.8" hidden="false" customHeight="false" outlineLevel="0" collapsed="false">
      <c r="A14" s="22"/>
      <c r="B14" s="23" t="s">
        <v>5</v>
      </c>
      <c r="C14" s="24" t="s">
        <v>6</v>
      </c>
      <c r="D14" s="24" t="s">
        <v>7</v>
      </c>
      <c r="E14" s="25" t="s">
        <v>8</v>
      </c>
      <c r="F14" s="25"/>
      <c r="G14" s="26" t="s">
        <v>9</v>
      </c>
    </row>
    <row r="15" customFormat="false" ht="16.5" hidden="false" customHeight="true" outlineLevel="0" collapsed="false">
      <c r="A15" s="22"/>
      <c r="B15" s="27" t="s">
        <v>10</v>
      </c>
      <c r="C15" s="28" t="n">
        <v>40193</v>
      </c>
      <c r="D15" s="28" t="n">
        <v>40195</v>
      </c>
      <c r="E15" s="29" t="s">
        <v>11</v>
      </c>
      <c r="F15" s="29"/>
      <c r="G15" s="30" t="n">
        <v>1000</v>
      </c>
    </row>
    <row r="16" customFormat="false" ht="16.5" hidden="false" customHeight="true" outlineLevel="0" collapsed="false">
      <c r="A16" s="22"/>
      <c r="B16" s="27" t="s">
        <v>12</v>
      </c>
      <c r="C16" s="31"/>
      <c r="D16" s="31"/>
      <c r="E16" s="32"/>
      <c r="F16" s="32"/>
      <c r="G16" s="30"/>
    </row>
    <row r="17" customFormat="false" ht="16.5" hidden="false" customHeight="true" outlineLevel="0" collapsed="false">
      <c r="A17" s="22"/>
      <c r="B17" s="27" t="s">
        <v>13</v>
      </c>
      <c r="C17" s="31"/>
      <c r="D17" s="31"/>
      <c r="E17" s="32"/>
      <c r="F17" s="32"/>
      <c r="G17" s="30"/>
    </row>
    <row r="18" customFormat="false" ht="16.5" hidden="false" customHeight="true" outlineLevel="0" collapsed="false">
      <c r="A18" s="22"/>
      <c r="B18" s="27" t="s">
        <v>14</v>
      </c>
      <c r="C18" s="31"/>
      <c r="D18" s="31"/>
      <c r="E18" s="32"/>
      <c r="F18" s="32"/>
      <c r="G18" s="30"/>
    </row>
    <row r="19" customFormat="false" ht="16.5" hidden="false" customHeight="true" outlineLevel="0" collapsed="false">
      <c r="A19" s="22"/>
      <c r="B19" s="27" t="s">
        <v>15</v>
      </c>
      <c r="C19" s="31"/>
      <c r="D19" s="31"/>
      <c r="E19" s="32"/>
      <c r="F19" s="32"/>
      <c r="G19" s="30"/>
    </row>
    <row r="20" customFormat="false" ht="16.5" hidden="false" customHeight="true" outlineLevel="0" collapsed="false">
      <c r="A20" s="33"/>
      <c r="B20" s="27" t="s">
        <v>16</v>
      </c>
      <c r="C20" s="31"/>
      <c r="D20" s="31"/>
      <c r="E20" s="32"/>
      <c r="F20" s="32"/>
      <c r="G20" s="30"/>
    </row>
    <row r="21" customFormat="false" ht="16.5" hidden="false" customHeight="true" outlineLevel="0" collapsed="false">
      <c r="A21" s="33"/>
      <c r="B21" s="27" t="s">
        <v>17</v>
      </c>
      <c r="C21" s="31"/>
      <c r="D21" s="31"/>
      <c r="E21" s="32"/>
      <c r="F21" s="32"/>
      <c r="G21" s="30"/>
    </row>
    <row r="22" customFormat="false" ht="16.5" hidden="false" customHeight="true" outlineLevel="0" collapsed="false">
      <c r="A22" s="33"/>
      <c r="B22" s="27" t="s">
        <v>18</v>
      </c>
      <c r="C22" s="31"/>
      <c r="D22" s="31"/>
      <c r="E22" s="32"/>
      <c r="F22" s="32"/>
      <c r="G22" s="30"/>
    </row>
    <row r="23" customFormat="false" ht="16.5" hidden="false" customHeight="true" outlineLevel="0" collapsed="false">
      <c r="A23" s="33"/>
      <c r="B23" s="27" t="s">
        <v>19</v>
      </c>
      <c r="C23" s="31"/>
      <c r="D23" s="31"/>
      <c r="E23" s="32"/>
      <c r="F23" s="32"/>
      <c r="G23" s="30"/>
    </row>
    <row r="24" customFormat="false" ht="16.5" hidden="false" customHeight="true" outlineLevel="0" collapsed="false">
      <c r="A24" s="33"/>
      <c r="B24" s="27" t="s">
        <v>20</v>
      </c>
      <c r="C24" s="31"/>
      <c r="D24" s="31"/>
      <c r="E24" s="32"/>
      <c r="F24" s="32"/>
      <c r="G24" s="30"/>
    </row>
    <row r="25" customFormat="false" ht="16.5" hidden="false" customHeight="true" outlineLevel="0" collapsed="false">
      <c r="A25" s="33"/>
      <c r="B25" s="27" t="s">
        <v>21</v>
      </c>
      <c r="C25" s="31"/>
      <c r="D25" s="31"/>
      <c r="E25" s="32"/>
      <c r="F25" s="32"/>
      <c r="G25" s="30"/>
    </row>
    <row r="26" customFormat="false" ht="16.5" hidden="false" customHeight="true" outlineLevel="0" collapsed="false">
      <c r="A26" s="33"/>
      <c r="B26" s="27" t="s">
        <v>22</v>
      </c>
      <c r="C26" s="31"/>
      <c r="D26" s="31"/>
      <c r="E26" s="32"/>
      <c r="F26" s="32"/>
      <c r="G26" s="30"/>
    </row>
    <row r="27" customFormat="false" ht="16.5" hidden="false" customHeight="true" outlineLevel="0" collapsed="false">
      <c r="A27" s="9"/>
      <c r="B27" s="27" t="s">
        <v>23</v>
      </c>
      <c r="C27" s="31"/>
      <c r="D27" s="31"/>
      <c r="E27" s="32"/>
      <c r="F27" s="32"/>
      <c r="G27" s="30"/>
    </row>
    <row r="28" customFormat="false" ht="16.5" hidden="false" customHeight="true" outlineLevel="0" collapsed="false">
      <c r="A28" s="9"/>
      <c r="B28" s="27" t="s">
        <v>24</v>
      </c>
      <c r="C28" s="31"/>
      <c r="D28" s="31"/>
      <c r="E28" s="32"/>
      <c r="F28" s="32"/>
      <c r="G28" s="30"/>
    </row>
    <row r="29" customFormat="false" ht="16.5" hidden="false" customHeight="true" outlineLevel="0" collapsed="false">
      <c r="A29" s="9"/>
      <c r="B29" s="27" t="s">
        <v>25</v>
      </c>
      <c r="C29" s="31"/>
      <c r="D29" s="31"/>
      <c r="E29" s="32"/>
      <c r="F29" s="32"/>
      <c r="G29" s="30"/>
    </row>
    <row r="30" customFormat="false" ht="16.5" hidden="false" customHeight="true" outlineLevel="0" collapsed="false">
      <c r="A30" s="9"/>
      <c r="B30" s="27" t="s">
        <v>26</v>
      </c>
      <c r="C30" s="31"/>
      <c r="D30" s="31"/>
      <c r="E30" s="32"/>
      <c r="F30" s="32"/>
      <c r="G30" s="30"/>
    </row>
    <row r="31" customFormat="false" ht="16.5" hidden="false" customHeight="true" outlineLevel="0" collapsed="false">
      <c r="A31" s="9"/>
      <c r="B31" s="27" t="s">
        <v>27</v>
      </c>
      <c r="C31" s="31"/>
      <c r="D31" s="31"/>
      <c r="E31" s="32"/>
      <c r="F31" s="32"/>
      <c r="G31" s="30"/>
    </row>
    <row r="32" customFormat="false" ht="16.5" hidden="false" customHeight="true" outlineLevel="0" collapsed="false">
      <c r="A32" s="9"/>
      <c r="B32" s="27" t="s">
        <v>28</v>
      </c>
      <c r="C32" s="31"/>
      <c r="D32" s="31"/>
      <c r="E32" s="32"/>
      <c r="F32" s="32"/>
      <c r="G32" s="30"/>
    </row>
    <row r="33" customFormat="false" ht="16.5" hidden="false" customHeight="true" outlineLevel="0" collapsed="false">
      <c r="A33" s="9"/>
      <c r="B33" s="27" t="s">
        <v>29</v>
      </c>
      <c r="C33" s="31"/>
      <c r="D33" s="31"/>
      <c r="E33" s="32"/>
      <c r="F33" s="32"/>
      <c r="G33" s="30"/>
    </row>
    <row r="34" customFormat="false" ht="16.5" hidden="false" customHeight="true" outlineLevel="0" collapsed="false">
      <c r="A34" s="9"/>
      <c r="B34" s="27" t="s">
        <v>30</v>
      </c>
      <c r="C34" s="31"/>
      <c r="D34" s="31"/>
      <c r="E34" s="32"/>
      <c r="F34" s="32"/>
      <c r="G34" s="30"/>
    </row>
    <row r="35" customFormat="false" ht="16.5" hidden="false" customHeight="true" outlineLevel="0" collapsed="false">
      <c r="A35" s="9"/>
      <c r="B35" s="27" t="s">
        <v>31</v>
      </c>
      <c r="C35" s="31"/>
      <c r="D35" s="31"/>
      <c r="E35" s="32"/>
      <c r="F35" s="32"/>
      <c r="G35" s="30"/>
    </row>
    <row r="36" customFormat="false" ht="16.5" hidden="false" customHeight="true" outlineLevel="0" collapsed="false">
      <c r="A36" s="9"/>
      <c r="B36" s="27" t="s">
        <v>32</v>
      </c>
      <c r="C36" s="31"/>
      <c r="D36" s="31"/>
      <c r="E36" s="32"/>
      <c r="F36" s="32"/>
      <c r="G36" s="30"/>
    </row>
    <row r="37" customFormat="false" ht="16.5" hidden="false" customHeight="true" outlineLevel="0" collapsed="false">
      <c r="A37" s="9"/>
      <c r="B37" s="27" t="s">
        <v>33</v>
      </c>
      <c r="C37" s="31"/>
      <c r="D37" s="31"/>
      <c r="E37" s="32"/>
      <c r="F37" s="32"/>
      <c r="G37" s="30"/>
    </row>
    <row r="38" customFormat="false" ht="16.5" hidden="false" customHeight="true" outlineLevel="0" collapsed="false">
      <c r="A38" s="9"/>
      <c r="B38" s="27" t="s">
        <v>34</v>
      </c>
      <c r="C38" s="31"/>
      <c r="D38" s="31"/>
      <c r="E38" s="32"/>
      <c r="F38" s="32"/>
      <c r="G38" s="30"/>
    </row>
    <row r="39" customFormat="false" ht="16.5" hidden="false" customHeight="true" outlineLevel="0" collapsed="false">
      <c r="A39" s="9"/>
      <c r="B39" s="27" t="s">
        <v>35</v>
      </c>
      <c r="C39" s="31"/>
      <c r="D39" s="31"/>
      <c r="E39" s="32"/>
      <c r="F39" s="32"/>
      <c r="G39" s="30"/>
    </row>
    <row r="40" customFormat="false" ht="16.5" hidden="false" customHeight="true" outlineLevel="0" collapsed="false">
      <c r="A40" s="9"/>
      <c r="B40" s="27" t="s">
        <v>36</v>
      </c>
      <c r="C40" s="31"/>
      <c r="D40" s="31"/>
      <c r="E40" s="32"/>
      <c r="F40" s="32"/>
      <c r="G40" s="30"/>
    </row>
    <row r="41" customFormat="false" ht="16.5" hidden="false" customHeight="true" outlineLevel="0" collapsed="false">
      <c r="A41" s="9"/>
      <c r="B41" s="27" t="s">
        <v>37</v>
      </c>
      <c r="C41" s="31"/>
      <c r="D41" s="31"/>
      <c r="E41" s="32"/>
      <c r="F41" s="32"/>
      <c r="G41" s="30"/>
    </row>
    <row r="42" customFormat="false" ht="18" hidden="false" customHeight="true" outlineLevel="0" collapsed="false">
      <c r="E42" s="34"/>
      <c r="F42" s="34"/>
      <c r="G42" s="35" t="n">
        <f aca="false">COUNT(G15:G41,0)-1</f>
        <v>1</v>
      </c>
    </row>
    <row r="43" customFormat="false" ht="15" hidden="false" customHeight="false" outlineLevel="0" collapsed="false">
      <c r="A43" s="36"/>
      <c r="B43" s="37" t="str">
        <f aca="true">IF($E$10&lt;&gt;"","Datum: "&amp;IF(ISNUMBER(VALUE(TEXT(TODAY(),"rrrr"))),TEXT(TODAY(),"dd.mm.rrrr"),TEXT(TODAY(),"dd.mm.yyyy")),"Datum: ........................................")</f>
        <v>Datum: ........................................</v>
      </c>
      <c r="D43" s="37"/>
      <c r="E43" s="37"/>
      <c r="F43" s="38" t="s">
        <v>38</v>
      </c>
      <c r="G43" s="39"/>
    </row>
    <row r="44" customFormat="false" ht="15" hidden="false" customHeight="false" outlineLevel="0" collapsed="false">
      <c r="F44" s="38" t="s">
        <v>39</v>
      </c>
      <c r="G44" s="39"/>
    </row>
    <row r="45" customFormat="false" ht="12.75" hidden="false" customHeight="false" outlineLevel="0" collapsed="false">
      <c r="G45" s="35" t="str">
        <f aca="false">"V1©16/9/2009 Hop"</f>
        <v>V1©16/9/2009 Hop</v>
      </c>
    </row>
    <row r="48" customFormat="false" ht="15.75" hidden="false" customHeight="false" outlineLevel="0" collapsed="false">
      <c r="B48" s="40"/>
      <c r="C48" s="40"/>
    </row>
  </sheetData>
  <sheetProtection sheet="true"/>
  <mergeCells count="32">
    <mergeCell ref="A1:G1"/>
    <mergeCell ref="A2:G2"/>
    <mergeCell ref="G3:G5"/>
    <mergeCell ref="C12:G12"/>
    <mergeCell ref="E14:F14"/>
    <mergeCell ref="E15:F15"/>
    <mergeCell ref="E16:F16"/>
    <mergeCell ref="E17:F17"/>
    <mergeCell ref="E18:F18"/>
    <mergeCell ref="E19:F19"/>
    <mergeCell ref="E20:F20"/>
    <mergeCell ref="E21:F21"/>
    <mergeCell ref="E22:F22"/>
    <mergeCell ref="E23:F23"/>
    <mergeCell ref="E24:F24"/>
    <mergeCell ref="E25:F25"/>
    <mergeCell ref="E26:F26"/>
    <mergeCell ref="E27:F27"/>
    <mergeCell ref="E28:F28"/>
    <mergeCell ref="E29:F29"/>
    <mergeCell ref="E30:F30"/>
    <mergeCell ref="E31:F31"/>
    <mergeCell ref="E32:F32"/>
    <mergeCell ref="E33:F33"/>
    <mergeCell ref="E34:F34"/>
    <mergeCell ref="E35:F35"/>
    <mergeCell ref="E36:F36"/>
    <mergeCell ref="E37:F37"/>
    <mergeCell ref="E38:F38"/>
    <mergeCell ref="E39:F39"/>
    <mergeCell ref="E40:F40"/>
    <mergeCell ref="E41:F41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V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I17" activeCellId="0" sqref="I17"/>
    </sheetView>
  </sheetViews>
  <sheetFormatPr defaultColWidth="8.71484375" defaultRowHeight="12.75" zeroHeight="false" outlineLevelRow="0" outlineLevelCol="0"/>
  <cols>
    <col collapsed="false" customWidth="true" hidden="false" outlineLevel="0" max="1" min="1" style="1" width="0.57"/>
    <col collapsed="false" customWidth="true" hidden="false" outlineLevel="0" max="2" min="2" style="1" width="17.57"/>
    <col collapsed="false" customWidth="false" hidden="false" outlineLevel="0" max="3" min="3" style="1" width="8.71"/>
    <col collapsed="false" customWidth="true" hidden="false" outlineLevel="0" max="4" min="4" style="1" width="3"/>
    <col collapsed="false" customWidth="true" hidden="false" outlineLevel="0" max="5" min="5" style="1" width="19.29"/>
    <col collapsed="false" customWidth="true" hidden="false" outlineLevel="0" max="6" min="6" style="1" width="6.14"/>
    <col collapsed="false" customWidth="true" hidden="false" outlineLevel="0" max="7" min="7" style="1" width="20"/>
    <col collapsed="false" customWidth="true" hidden="false" outlineLevel="0" max="8" min="8" style="1" width="1.71"/>
    <col collapsed="false" customWidth="true" hidden="false" outlineLevel="0" max="9" min="9" style="1" width="6"/>
    <col collapsed="false" customWidth="true" hidden="false" outlineLevel="0" max="10" min="10" style="1" width="8.57"/>
    <col collapsed="false" customWidth="false" hidden="false" outlineLevel="0" max="247" min="11" style="1" width="8.71"/>
    <col collapsed="false" customWidth="false" hidden="false" outlineLevel="0" max="16384" min="248" style="41" width="8.71"/>
  </cols>
  <sheetData>
    <row r="1" s="40" customFormat="true" ht="17.35" hidden="false" customHeight="fals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IN1" s="41"/>
      <c r="IO1" s="41"/>
      <c r="IP1" s="41"/>
      <c r="IQ1" s="41"/>
      <c r="IR1" s="41"/>
      <c r="IS1" s="41"/>
      <c r="IT1" s="41"/>
      <c r="IU1" s="41"/>
      <c r="IV1" s="41"/>
    </row>
    <row r="2" s="40" customFormat="true" ht="29.25" hidden="false" customHeight="true" outlineLevel="0" collapsed="false">
      <c r="A2" s="2"/>
      <c r="B2" s="4" t="s">
        <v>1</v>
      </c>
      <c r="C2" s="4"/>
      <c r="D2" s="4"/>
      <c r="E2" s="4"/>
      <c r="F2" s="4"/>
      <c r="G2" s="4"/>
      <c r="H2" s="4"/>
      <c r="I2" s="2"/>
      <c r="J2" s="2"/>
      <c r="IN2" s="41"/>
      <c r="IO2" s="41"/>
      <c r="IP2" s="41"/>
      <c r="IQ2" s="41"/>
      <c r="IR2" s="41"/>
      <c r="IS2" s="41"/>
      <c r="IT2" s="41"/>
      <c r="IU2" s="41"/>
      <c r="IV2" s="41"/>
    </row>
    <row r="3" customFormat="false" ht="12.75" hidden="false" customHeight="false" outlineLevel="0" collapsed="false">
      <c r="A3" s="42"/>
      <c r="B3" s="42"/>
      <c r="C3" s="42"/>
      <c r="D3" s="42"/>
      <c r="E3" s="42"/>
      <c r="F3" s="42"/>
      <c r="G3" s="42"/>
      <c r="H3" s="42"/>
    </row>
    <row r="4" customFormat="false" ht="12.75" hidden="false" customHeight="false" outlineLevel="0" collapsed="false">
      <c r="A4" s="42"/>
      <c r="B4" s="42"/>
      <c r="C4" s="42"/>
      <c r="D4" s="42"/>
      <c r="E4" s="42"/>
      <c r="F4" s="42"/>
      <c r="G4" s="42"/>
      <c r="H4" s="42"/>
    </row>
    <row r="5" customFormat="false" ht="9" hidden="false" customHeight="true" outlineLevel="0" collapsed="false">
      <c r="A5" s="42"/>
      <c r="B5" s="42"/>
      <c r="C5" s="42"/>
      <c r="D5" s="42"/>
      <c r="E5" s="42"/>
      <c r="F5" s="42"/>
      <c r="G5" s="42"/>
      <c r="H5" s="42"/>
    </row>
    <row r="6" customFormat="false" ht="12.75" hidden="false" customHeight="false" outlineLevel="0" collapsed="false">
      <c r="A6" s="9"/>
      <c r="B6" s="9"/>
      <c r="C6" s="9"/>
      <c r="E6" s="9"/>
      <c r="F6" s="9"/>
    </row>
    <row r="7" customFormat="false" ht="12.75" hidden="false" customHeight="false" outlineLevel="0" collapsed="false">
      <c r="A7" s="9"/>
      <c r="B7" s="43" t="s">
        <v>40</v>
      </c>
      <c r="C7" s="9"/>
      <c r="D7" s="43" t="s">
        <v>41</v>
      </c>
      <c r="E7" s="43"/>
      <c r="F7" s="42"/>
      <c r="G7" s="44" t="s">
        <v>42</v>
      </c>
      <c r="H7" s="44"/>
      <c r="I7" s="44"/>
      <c r="J7" s="44"/>
    </row>
    <row r="8" customFormat="false" ht="12.75" hidden="false" customHeight="false" outlineLevel="0" collapsed="false">
      <c r="A8" s="9"/>
      <c r="B8" s="45" t="str">
        <f aca="false">IF(ISBLANK(Seznam_do_35_účastníků!C2),IF(ISBLANK(Seznam_do_70_účastníků!C2)," ",Seznam_do_70_účastníků!C2),Seznam_do_35_účastníků!C2)</f>
        <v>Šán</v>
      </c>
      <c r="C8" s="9"/>
      <c r="D8" s="45" t="str">
        <f aca="true">IF(AND(ISNUMBER('Seznam účastníků'!B5),ISNUMBER('Seznam účastníků'!B6)),IF(ISNUMBER(VALUE(TEXT(TODAY(),"rrrr"))),TEXT('Seznam účastníků'!B5,"dd.mm.rrrr")&amp;" - "&amp;TEXT('Seznam účastníků'!B6,"dd.mm.rrrr"),TEXT('Seznam účastníků'!B5,"dd.mm.yyyy")&amp;" - "&amp;TEXT('Seznam účastníků'!B6,"dd.mm.yyyy"))," ")</f>
        <v> </v>
      </c>
      <c r="E8" s="45"/>
      <c r="F8" s="41"/>
      <c r="G8" s="46" t="n">
        <f aca="false">IF(ISBLANK(Seznam_do_35_účastníků!C6),IF(ISBLANK(Seznam_do_70_účastníků!C6)," ",Seznam_do_70_účastníků!C6),Seznam_do_35_účastníků!C6)</f>
        <v>0</v>
      </c>
      <c r="H8" s="46"/>
      <c r="I8" s="46"/>
      <c r="J8" s="46"/>
    </row>
    <row r="9" customFormat="false" ht="12.75" hidden="false" customHeight="false" outlineLevel="0" collapsed="false">
      <c r="A9" s="9"/>
      <c r="B9" s="9"/>
      <c r="C9" s="9"/>
      <c r="D9" s="9"/>
      <c r="E9" s="9"/>
    </row>
    <row r="10" customFormat="false" ht="12.75" hidden="false" customHeight="false" outlineLevel="0" collapsed="false">
      <c r="A10" s="9"/>
      <c r="B10" s="47" t="s">
        <v>43</v>
      </c>
      <c r="C10" s="48"/>
      <c r="D10" s="49" t="str">
        <f aca="false">IF(Seznam_do_35_účastníků!D48+Seznam_do_70_účastníků!D83=0," ",MAX(Seznam_do_35_účastníků!D48,Seznam_do_70_účastníků!D83))</f>
        <v> </v>
      </c>
      <c r="E10" s="9"/>
      <c r="G10" s="50" t="s">
        <v>44</v>
      </c>
      <c r="H10" s="51"/>
      <c r="I10" s="51"/>
      <c r="J10" s="52" t="str">
        <f aca="false">IF(Seznam_do_35_účastníků!D47+Seznam_do_70_účastníků!D82=0," ",MAX(Seznam_do_35_účastníků!D47,Seznam_do_70_účastníků!D82))</f>
        <v> </v>
      </c>
    </row>
    <row r="11" customFormat="false" ht="12.75" hidden="false" customHeight="false" outlineLevel="0" collapsed="false">
      <c r="A11" s="9"/>
      <c r="B11" s="9"/>
      <c r="C11" s="9"/>
      <c r="D11" s="9"/>
      <c r="E11" s="9"/>
    </row>
    <row r="12" customFormat="false" ht="17.15" hidden="false" customHeight="false" outlineLevel="0" collapsed="false">
      <c r="A12" s="53" t="s">
        <v>45</v>
      </c>
      <c r="B12" s="53"/>
      <c r="C12" s="53"/>
      <c r="D12" s="53"/>
      <c r="E12" s="53"/>
      <c r="F12" s="39"/>
      <c r="G12" s="39"/>
    </row>
    <row r="13" customFormat="false" ht="15" hidden="false" customHeight="false" outlineLevel="0" collapsed="false">
      <c r="A13" s="54"/>
      <c r="B13" s="53"/>
      <c r="C13" s="53"/>
      <c r="D13" s="53"/>
      <c r="E13" s="53"/>
      <c r="F13" s="39"/>
      <c r="G13" s="39"/>
      <c r="J13" s="55" t="n">
        <f aca="false">COUNT(I15:J39)</f>
        <v>2</v>
      </c>
    </row>
    <row r="14" customFormat="false" ht="28.5" hidden="false" customHeight="true" outlineLevel="0" collapsed="false">
      <c r="A14" s="9"/>
      <c r="B14" s="56" t="s">
        <v>46</v>
      </c>
      <c r="C14" s="57" t="s">
        <v>47</v>
      </c>
      <c r="D14" s="57"/>
      <c r="E14" s="58" t="s">
        <v>48</v>
      </c>
      <c r="F14" s="58"/>
      <c r="G14" s="58"/>
      <c r="H14" s="59"/>
      <c r="I14" s="60" t="s">
        <v>49</v>
      </c>
      <c r="J14" s="60"/>
    </row>
    <row r="15" customFormat="false" ht="16.5" hidden="false" customHeight="true" outlineLevel="0" collapsed="false">
      <c r="A15" s="9"/>
      <c r="B15" s="61" t="s">
        <v>50</v>
      </c>
      <c r="C15" s="62" t="n">
        <v>40179</v>
      </c>
      <c r="D15" s="62"/>
      <c r="E15" s="63" t="s">
        <v>51</v>
      </c>
      <c r="F15" s="63"/>
      <c r="G15" s="63"/>
      <c r="H15" s="64"/>
      <c r="I15" s="65" t="n">
        <v>100</v>
      </c>
      <c r="J15" s="65"/>
    </row>
    <row r="16" customFormat="false" ht="16.5" hidden="false" customHeight="true" outlineLevel="0" collapsed="false">
      <c r="A16" s="9"/>
      <c r="B16" s="66"/>
      <c r="C16" s="67"/>
      <c r="D16" s="67"/>
      <c r="E16" s="68" t="s">
        <v>52</v>
      </c>
      <c r="F16" s="68"/>
      <c r="G16" s="68"/>
      <c r="H16" s="64"/>
      <c r="I16" s="69" t="n">
        <v>3042</v>
      </c>
      <c r="J16" s="69"/>
    </row>
    <row r="17" customFormat="false" ht="16.5" hidden="false" customHeight="true" outlineLevel="0" collapsed="false">
      <c r="A17" s="9"/>
      <c r="B17" s="61"/>
      <c r="C17" s="70"/>
      <c r="D17" s="70"/>
      <c r="E17" s="68"/>
      <c r="F17" s="68"/>
      <c r="G17" s="68"/>
      <c r="H17" s="64"/>
      <c r="I17" s="69"/>
      <c r="J17" s="69"/>
    </row>
    <row r="18" customFormat="false" ht="16.5" hidden="false" customHeight="true" outlineLevel="0" collapsed="false">
      <c r="A18" s="9"/>
      <c r="B18" s="61"/>
      <c r="C18" s="70"/>
      <c r="D18" s="70"/>
      <c r="E18" s="68"/>
      <c r="F18" s="68"/>
      <c r="G18" s="68"/>
      <c r="H18" s="64"/>
      <c r="I18" s="69"/>
      <c r="J18" s="69"/>
    </row>
    <row r="19" customFormat="false" ht="16.5" hidden="false" customHeight="true" outlineLevel="0" collapsed="false">
      <c r="A19" s="9"/>
      <c r="B19" s="61"/>
      <c r="C19" s="70"/>
      <c r="D19" s="70"/>
      <c r="E19" s="68"/>
      <c r="F19" s="68"/>
      <c r="G19" s="68"/>
      <c r="H19" s="64"/>
      <c r="I19" s="69"/>
      <c r="J19" s="69"/>
    </row>
    <row r="20" customFormat="false" ht="16.5" hidden="false" customHeight="true" outlineLevel="0" collapsed="false">
      <c r="A20" s="9"/>
      <c r="B20" s="61"/>
      <c r="C20" s="70"/>
      <c r="D20" s="70"/>
      <c r="E20" s="68"/>
      <c r="F20" s="68"/>
      <c r="G20" s="68"/>
      <c r="H20" s="64"/>
      <c r="I20" s="69"/>
      <c r="J20" s="69"/>
    </row>
    <row r="21" customFormat="false" ht="16.5" hidden="false" customHeight="true" outlineLevel="0" collapsed="false">
      <c r="A21" s="9"/>
      <c r="B21" s="61"/>
      <c r="C21" s="71"/>
      <c r="D21" s="71"/>
      <c r="E21" s="68"/>
      <c r="F21" s="68"/>
      <c r="G21" s="68"/>
      <c r="H21" s="64"/>
      <c r="I21" s="69"/>
      <c r="J21" s="69"/>
    </row>
    <row r="22" customFormat="false" ht="16.5" hidden="false" customHeight="true" outlineLevel="0" collapsed="false">
      <c r="A22" s="9"/>
      <c r="B22" s="61"/>
      <c r="C22" s="71"/>
      <c r="D22" s="71"/>
      <c r="E22" s="68"/>
      <c r="F22" s="68"/>
      <c r="G22" s="68"/>
      <c r="H22" s="64"/>
      <c r="I22" s="69"/>
      <c r="J22" s="69"/>
    </row>
    <row r="23" customFormat="false" ht="16.5" hidden="false" customHeight="true" outlineLevel="0" collapsed="false">
      <c r="A23" s="9"/>
      <c r="B23" s="61"/>
      <c r="C23" s="71"/>
      <c r="D23" s="71"/>
      <c r="E23" s="68"/>
      <c r="F23" s="68"/>
      <c r="G23" s="68"/>
      <c r="H23" s="64"/>
      <c r="I23" s="69"/>
      <c r="J23" s="69"/>
    </row>
    <row r="24" customFormat="false" ht="16.5" hidden="false" customHeight="true" outlineLevel="0" collapsed="false">
      <c r="A24" s="9"/>
      <c r="B24" s="61"/>
      <c r="C24" s="71"/>
      <c r="D24" s="71"/>
      <c r="E24" s="68"/>
      <c r="F24" s="68"/>
      <c r="G24" s="68"/>
      <c r="H24" s="64"/>
      <c r="I24" s="69"/>
      <c r="J24" s="69"/>
    </row>
    <row r="25" customFormat="false" ht="16.5" hidden="false" customHeight="true" outlineLevel="0" collapsed="false">
      <c r="A25" s="9"/>
      <c r="B25" s="61"/>
      <c r="C25" s="71"/>
      <c r="D25" s="71"/>
      <c r="E25" s="68"/>
      <c r="F25" s="68"/>
      <c r="G25" s="68"/>
      <c r="H25" s="64"/>
      <c r="I25" s="69"/>
      <c r="J25" s="69"/>
    </row>
    <row r="26" customFormat="false" ht="16.5" hidden="false" customHeight="true" outlineLevel="0" collapsed="false">
      <c r="A26" s="9"/>
      <c r="B26" s="61"/>
      <c r="C26" s="71"/>
      <c r="D26" s="71"/>
      <c r="E26" s="68"/>
      <c r="F26" s="68"/>
      <c r="G26" s="68"/>
      <c r="H26" s="64"/>
      <c r="I26" s="69"/>
      <c r="J26" s="69"/>
    </row>
    <row r="27" customFormat="false" ht="16.5" hidden="false" customHeight="true" outlineLevel="0" collapsed="false">
      <c r="A27" s="9"/>
      <c r="B27" s="72"/>
      <c r="C27" s="73"/>
      <c r="D27" s="73"/>
      <c r="E27" s="68"/>
      <c r="F27" s="68"/>
      <c r="G27" s="68"/>
      <c r="H27" s="64"/>
      <c r="I27" s="69"/>
      <c r="J27" s="69"/>
    </row>
    <row r="28" customFormat="false" ht="16.5" hidden="false" customHeight="true" outlineLevel="0" collapsed="false">
      <c r="A28" s="9"/>
      <c r="B28" s="72"/>
      <c r="C28" s="73"/>
      <c r="D28" s="73"/>
      <c r="E28" s="68"/>
      <c r="F28" s="68"/>
      <c r="G28" s="68"/>
      <c r="H28" s="64"/>
      <c r="I28" s="69"/>
      <c r="J28" s="69"/>
    </row>
    <row r="29" customFormat="false" ht="16.5" hidden="false" customHeight="true" outlineLevel="0" collapsed="false">
      <c r="A29" s="9"/>
      <c r="B29" s="72"/>
      <c r="C29" s="73"/>
      <c r="D29" s="73"/>
      <c r="E29" s="68"/>
      <c r="F29" s="68"/>
      <c r="G29" s="68"/>
      <c r="H29" s="64"/>
      <c r="I29" s="69"/>
      <c r="J29" s="69"/>
    </row>
    <row r="30" customFormat="false" ht="16.5" hidden="false" customHeight="true" outlineLevel="0" collapsed="false">
      <c r="A30" s="9"/>
      <c r="B30" s="72"/>
      <c r="C30" s="73"/>
      <c r="D30" s="73"/>
      <c r="E30" s="68"/>
      <c r="F30" s="68"/>
      <c r="G30" s="68"/>
      <c r="H30" s="64"/>
      <c r="I30" s="69"/>
      <c r="J30" s="69"/>
    </row>
    <row r="31" customFormat="false" ht="16.5" hidden="false" customHeight="true" outlineLevel="0" collapsed="false">
      <c r="A31" s="9"/>
      <c r="B31" s="72"/>
      <c r="C31" s="73"/>
      <c r="D31" s="73"/>
      <c r="E31" s="68"/>
      <c r="F31" s="68"/>
      <c r="G31" s="68"/>
      <c r="H31" s="64"/>
      <c r="I31" s="69"/>
      <c r="J31" s="69"/>
    </row>
    <row r="32" customFormat="false" ht="16.5" hidden="false" customHeight="true" outlineLevel="0" collapsed="false">
      <c r="A32" s="9"/>
      <c r="B32" s="72"/>
      <c r="C32" s="73"/>
      <c r="D32" s="73"/>
      <c r="E32" s="68"/>
      <c r="F32" s="68"/>
      <c r="G32" s="68"/>
      <c r="H32" s="64"/>
      <c r="I32" s="69"/>
      <c r="J32" s="69"/>
    </row>
    <row r="33" customFormat="false" ht="16.5" hidden="false" customHeight="true" outlineLevel="0" collapsed="false">
      <c r="A33" s="9"/>
      <c r="B33" s="72"/>
      <c r="C33" s="73"/>
      <c r="D33" s="73"/>
      <c r="E33" s="68"/>
      <c r="F33" s="68"/>
      <c r="G33" s="68"/>
      <c r="H33" s="64"/>
      <c r="I33" s="69"/>
      <c r="J33" s="69"/>
    </row>
    <row r="34" customFormat="false" ht="16.5" hidden="false" customHeight="true" outlineLevel="0" collapsed="false">
      <c r="A34" s="9"/>
      <c r="B34" s="72"/>
      <c r="C34" s="73"/>
      <c r="D34" s="73"/>
      <c r="E34" s="68"/>
      <c r="F34" s="68"/>
      <c r="G34" s="68"/>
      <c r="H34" s="64"/>
      <c r="I34" s="69"/>
      <c r="J34" s="69"/>
    </row>
    <row r="35" customFormat="false" ht="16.5" hidden="false" customHeight="true" outlineLevel="0" collapsed="false">
      <c r="A35" s="9"/>
      <c r="B35" s="72"/>
      <c r="C35" s="73"/>
      <c r="D35" s="73"/>
      <c r="E35" s="68"/>
      <c r="F35" s="68"/>
      <c r="G35" s="68"/>
      <c r="H35" s="64"/>
      <c r="I35" s="69"/>
      <c r="J35" s="69"/>
    </row>
    <row r="36" customFormat="false" ht="16.5" hidden="false" customHeight="true" outlineLevel="0" collapsed="false">
      <c r="A36" s="9"/>
      <c r="B36" s="72"/>
      <c r="C36" s="73"/>
      <c r="D36" s="73"/>
      <c r="E36" s="68"/>
      <c r="F36" s="68"/>
      <c r="G36" s="68"/>
      <c r="H36" s="64"/>
      <c r="I36" s="69"/>
      <c r="J36" s="69"/>
    </row>
    <row r="37" customFormat="false" ht="16.5" hidden="false" customHeight="true" outlineLevel="0" collapsed="false">
      <c r="A37" s="9"/>
      <c r="B37" s="72"/>
      <c r="C37" s="73"/>
      <c r="D37" s="73"/>
      <c r="E37" s="68"/>
      <c r="F37" s="68"/>
      <c r="G37" s="68"/>
      <c r="H37" s="64"/>
      <c r="I37" s="69"/>
      <c r="J37" s="69"/>
    </row>
    <row r="38" customFormat="false" ht="16.5" hidden="false" customHeight="true" outlineLevel="0" collapsed="false">
      <c r="A38" s="9"/>
      <c r="B38" s="72"/>
      <c r="C38" s="73"/>
      <c r="D38" s="73"/>
      <c r="E38" s="68"/>
      <c r="F38" s="68"/>
      <c r="G38" s="68"/>
      <c r="H38" s="64"/>
      <c r="I38" s="69"/>
      <c r="J38" s="69"/>
    </row>
    <row r="39" customFormat="false" ht="16.5" hidden="false" customHeight="true" outlineLevel="0" collapsed="false">
      <c r="A39" s="9"/>
      <c r="B39" s="72"/>
      <c r="C39" s="74"/>
      <c r="D39" s="74"/>
      <c r="E39" s="75"/>
      <c r="F39" s="75"/>
      <c r="G39" s="75"/>
      <c r="H39" s="76"/>
      <c r="I39" s="69"/>
      <c r="J39" s="69"/>
    </row>
    <row r="40" customFormat="false" ht="18" hidden="false" customHeight="true" outlineLevel="0" collapsed="false">
      <c r="A40" s="9"/>
      <c r="B40" s="77" t="s">
        <v>53</v>
      </c>
      <c r="C40" s="77"/>
      <c r="D40" s="77"/>
      <c r="F40" s="78" t="n">
        <f aca="false">IF(AND(ISNUMBER('Seznam účastníků'!B5),ISNUMBER('Seznam účastníků'!B6)),('Seznam účastníků'!B6-'Seznam účastníků'!B5+1),0)</f>
        <v>0</v>
      </c>
      <c r="G40" s="34" t="e">
        <f aca="false">IF(F7&lt;&gt;"T",100*D10*F40,50*D10*F40)</f>
        <v>#VALUE!</v>
      </c>
      <c r="H40" s="40"/>
      <c r="I40" s="79" t="n">
        <f aca="false">SUM(I15:J39)</f>
        <v>3142</v>
      </c>
      <c r="J40" s="79"/>
    </row>
    <row r="41" customFormat="false" ht="17.25" hidden="false" customHeight="true" outlineLevel="0" collapsed="false">
      <c r="B41" s="38" t="s">
        <v>54</v>
      </c>
      <c r="D41" s="34"/>
      <c r="E41" s="80" t="e">
        <f aca="false">IF(AND(I42*D10+I41&gt;I40,I41&gt;0,F7&lt;&gt;"T"),"Akce Nesmí být zisková","")</f>
        <v>#VALUE!</v>
      </c>
      <c r="F41" s="34"/>
      <c r="G41" s="39" t="e">
        <f aca="false">IF(I41&gt;G40,"Prekrocili jste limit "&amp;G40&amp;"kc","")</f>
        <v>#VALUE!</v>
      </c>
      <c r="H41" s="34"/>
      <c r="I41" s="81" t="n">
        <v>100</v>
      </c>
      <c r="J41" s="81"/>
    </row>
    <row r="42" customFormat="false" ht="15" hidden="false" customHeight="false" outlineLevel="0" collapsed="false">
      <c r="A42" s="36"/>
      <c r="B42" s="82" t="s">
        <v>55</v>
      </c>
      <c r="E42" s="41"/>
      <c r="I42" s="81" t="n">
        <v>160</v>
      </c>
      <c r="J42" s="81"/>
    </row>
    <row r="43" customFormat="false" ht="12.75" hidden="false" customHeight="false" outlineLevel="0" collapsed="false">
      <c r="E43" s="80" t="e">
        <f aca="false">IF(AND(I42*D10+I41&gt;I40,I41&gt;0,F7&lt;&gt;"T")," Pokud je to TABOR a prikladate Rozpocet akce, napiste T do bunky F7","")</f>
        <v>#VALUE!</v>
      </c>
    </row>
    <row r="45" customFormat="false" ht="15" hidden="false" customHeight="false" outlineLevel="0" collapsed="false">
      <c r="B45" s="37" t="str">
        <f aca="true">IF($B$15&lt;&gt;"","Datum: "&amp;IF(ISNUMBER(VALUE(TEXT(TODAY(),"rrrr"))),TEXT(TODAY(),"dd.mm.rrrr"),TEXT(TODAY(),"dd.mm.yyyy")),"Datum: ........................................")</f>
        <v>Datum: 01.09.2026</v>
      </c>
      <c r="C45" s="37"/>
      <c r="D45" s="37"/>
      <c r="F45" s="38" t="s">
        <v>38</v>
      </c>
      <c r="G45" s="39"/>
    </row>
    <row r="46" customFormat="false" ht="15" hidden="false" customHeight="false" outlineLevel="0" collapsed="false">
      <c r="F46" s="38" t="s">
        <v>39</v>
      </c>
      <c r="G46" s="39"/>
    </row>
    <row r="47" customFormat="false" ht="12.75" hidden="false" customHeight="false" outlineLevel="0" collapsed="false">
      <c r="J47" s="35" t="s">
        <v>56</v>
      </c>
    </row>
  </sheetData>
  <sheetProtection sheet="true"/>
  <mergeCells count="88">
    <mergeCell ref="A1:J1"/>
    <mergeCell ref="B2:H2"/>
    <mergeCell ref="D7:E7"/>
    <mergeCell ref="G7:J7"/>
    <mergeCell ref="D8:E8"/>
    <mergeCell ref="G8:J8"/>
    <mergeCell ref="C14:D14"/>
    <mergeCell ref="E14:G14"/>
    <mergeCell ref="I14:J14"/>
    <mergeCell ref="C15:D15"/>
    <mergeCell ref="E15:G15"/>
    <mergeCell ref="I15:J15"/>
    <mergeCell ref="C16:D16"/>
    <mergeCell ref="E16:G16"/>
    <mergeCell ref="I16:J16"/>
    <mergeCell ref="C17:D17"/>
    <mergeCell ref="E17:G17"/>
    <mergeCell ref="I17:J17"/>
    <mergeCell ref="C18:D18"/>
    <mergeCell ref="E18:G18"/>
    <mergeCell ref="I18:J18"/>
    <mergeCell ref="C19:D19"/>
    <mergeCell ref="E19:G19"/>
    <mergeCell ref="I19:J19"/>
    <mergeCell ref="C20:D20"/>
    <mergeCell ref="E20:G20"/>
    <mergeCell ref="I20:J20"/>
    <mergeCell ref="C21:D21"/>
    <mergeCell ref="E21:G21"/>
    <mergeCell ref="I21:J21"/>
    <mergeCell ref="C22:D22"/>
    <mergeCell ref="E22:G22"/>
    <mergeCell ref="I22:J22"/>
    <mergeCell ref="C23:D23"/>
    <mergeCell ref="E23:G23"/>
    <mergeCell ref="I23:J23"/>
    <mergeCell ref="C24:D24"/>
    <mergeCell ref="E24:G24"/>
    <mergeCell ref="I24:J24"/>
    <mergeCell ref="C25:D25"/>
    <mergeCell ref="E25:G25"/>
    <mergeCell ref="I25:J25"/>
    <mergeCell ref="C26:D26"/>
    <mergeCell ref="E26:G26"/>
    <mergeCell ref="I26:J26"/>
    <mergeCell ref="C27:D27"/>
    <mergeCell ref="E27:G27"/>
    <mergeCell ref="I27:J27"/>
    <mergeCell ref="C28:D28"/>
    <mergeCell ref="E28:G28"/>
    <mergeCell ref="I28:J28"/>
    <mergeCell ref="C29:D29"/>
    <mergeCell ref="E29:G29"/>
    <mergeCell ref="I29:J29"/>
    <mergeCell ref="C30:D30"/>
    <mergeCell ref="E30:G30"/>
    <mergeCell ref="I30:J30"/>
    <mergeCell ref="C31:D31"/>
    <mergeCell ref="E31:G31"/>
    <mergeCell ref="I31:J31"/>
    <mergeCell ref="C32:D32"/>
    <mergeCell ref="E32:G32"/>
    <mergeCell ref="I32:J32"/>
    <mergeCell ref="C33:D33"/>
    <mergeCell ref="E33:G33"/>
    <mergeCell ref="I33:J33"/>
    <mergeCell ref="C34:D34"/>
    <mergeCell ref="E34:G34"/>
    <mergeCell ref="I34:J34"/>
    <mergeCell ref="C35:D35"/>
    <mergeCell ref="E35:G35"/>
    <mergeCell ref="I35:J35"/>
    <mergeCell ref="C36:D36"/>
    <mergeCell ref="E36:G36"/>
    <mergeCell ref="I36:J36"/>
    <mergeCell ref="C37:D37"/>
    <mergeCell ref="E37:G37"/>
    <mergeCell ref="I37:J37"/>
    <mergeCell ref="C38:D38"/>
    <mergeCell ref="E38:G38"/>
    <mergeCell ref="I38:J38"/>
    <mergeCell ref="C39:D39"/>
    <mergeCell ref="E39:G39"/>
    <mergeCell ref="I39:J39"/>
    <mergeCell ref="B40:D40"/>
    <mergeCell ref="I40:J40"/>
    <mergeCell ref="I41:J41"/>
    <mergeCell ref="I42:J42"/>
  </mergeCells>
  <conditionalFormatting sqref="I41">
    <cfRule type="expression" priority="2" aboveAverage="0" equalAverage="0" bottom="0" percent="0" rank="0" text="" dxfId="0">
      <formula>AND(I42*D10+I41&gt;I40,I41&gt;0,F7&lt;&gt;"T")</formula>
    </cfRule>
  </conditionalFormatting>
  <printOptions headings="false" gridLines="false" gridLinesSet="true" horizontalCentered="true" verticalCentered="false"/>
  <pageMargins left="0.509722222222222" right="0.472222222222222" top="0.329861111111111" bottom="0.320138888888889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5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8" activeCellId="0" sqref="C18"/>
    </sheetView>
  </sheetViews>
  <sheetFormatPr defaultColWidth="8.6796875" defaultRowHeight="12.75" zeroHeight="false" outlineLevelRow="0" outlineLevelCol="0"/>
  <cols>
    <col collapsed="false" customWidth="true" hidden="false" outlineLevel="0" max="1" min="1" style="39" width="4.14"/>
    <col collapsed="false" customWidth="true" hidden="false" outlineLevel="0" max="2" min="2" style="39" width="14.14"/>
    <col collapsed="false" customWidth="true" hidden="false" outlineLevel="0" max="3" min="3" style="39" width="14.57"/>
    <col collapsed="false" customWidth="true" hidden="false" outlineLevel="0" max="4" min="4" style="39" width="13.71"/>
    <col collapsed="false" customWidth="true" hidden="false" outlineLevel="0" max="5" min="5" style="39" width="25.85"/>
    <col collapsed="false" customWidth="true" hidden="false" outlineLevel="0" max="6" min="6" style="39" width="12.29"/>
    <col collapsed="false" customWidth="true" hidden="true" outlineLevel="0" max="11" min="7" style="39" width="11.53"/>
    <col collapsed="false" customWidth="true" hidden="false" outlineLevel="0" max="254" min="12" style="39" width="9"/>
  </cols>
  <sheetData>
    <row r="1" s="84" customFormat="true" ht="22.05" hidden="false" customHeight="false" outlineLevel="0" collapsed="false">
      <c r="A1" s="83" t="s">
        <v>57</v>
      </c>
      <c r="B1" s="83"/>
      <c r="C1" s="83"/>
      <c r="D1" s="83"/>
      <c r="E1" s="83"/>
      <c r="F1" s="83"/>
    </row>
    <row r="2" s="84" customFormat="true" ht="18" hidden="false" customHeight="true" outlineLevel="0" collapsed="false">
      <c r="A2" s="85" t="s">
        <v>58</v>
      </c>
      <c r="B2" s="85"/>
      <c r="C2" s="86" t="s">
        <v>3</v>
      </c>
    </row>
    <row r="3" s="84" customFormat="true" ht="18" hidden="false" customHeight="true" outlineLevel="0" collapsed="false">
      <c r="A3" s="85" t="s">
        <v>59</v>
      </c>
      <c r="B3" s="85"/>
      <c r="C3" s="86" t="s">
        <v>60</v>
      </c>
    </row>
    <row r="4" s="84" customFormat="true" ht="18.75" hidden="false" customHeight="true" outlineLevel="0" collapsed="false">
      <c r="A4" s="85" t="s">
        <v>61</v>
      </c>
      <c r="B4" s="85"/>
      <c r="C4" s="86" t="str">
        <f aca="false">'Seznam účastníků'!A2</f>
        <v>Neočekávaný dýchánek</v>
      </c>
    </row>
    <row r="5" customFormat="false" ht="15" hidden="false" customHeight="false" outlineLevel="0" collapsed="false">
      <c r="A5" s="87" t="s">
        <v>62</v>
      </c>
      <c r="B5" s="53"/>
      <c r="C5" s="88" t="n">
        <f aca="false">'Seznam účastníků'!B5</f>
        <v>0</v>
      </c>
      <c r="D5" s="88" t="n">
        <f aca="false">'Seznam účastníků'!B6</f>
        <v>0</v>
      </c>
    </row>
    <row r="6" customFormat="false" ht="15" hidden="false" customHeight="false" outlineLevel="0" collapsed="false">
      <c r="A6" s="87" t="s">
        <v>63</v>
      </c>
      <c r="B6" s="53"/>
      <c r="C6" s="88" t="n">
        <f aca="false">'Seznam účastníků'!B4</f>
        <v>0</v>
      </c>
    </row>
    <row r="7" customFormat="false" ht="12.75" hidden="false" customHeight="false" outlineLevel="0" collapsed="false">
      <c r="A7" s="89"/>
      <c r="B7" s="89"/>
      <c r="C7" s="89"/>
      <c r="D7" s="89"/>
      <c r="E7" s="89"/>
      <c r="F7" s="89"/>
      <c r="G7" s="89"/>
    </row>
    <row r="8" customFormat="false" ht="13.5" hidden="false" customHeight="true" outlineLevel="0" collapsed="false">
      <c r="A8" s="90" t="s">
        <v>64</v>
      </c>
      <c r="B8" s="90" t="s">
        <v>65</v>
      </c>
      <c r="C8" s="90" t="s">
        <v>66</v>
      </c>
      <c r="D8" s="91" t="s">
        <v>67</v>
      </c>
      <c r="E8" s="92" t="s">
        <v>68</v>
      </c>
      <c r="F8" s="90" t="s">
        <v>69</v>
      </c>
      <c r="G8" s="53" t="s">
        <v>70</v>
      </c>
      <c r="H8" s="53" t="s">
        <v>71</v>
      </c>
      <c r="I8" s="53" t="s">
        <v>72</v>
      </c>
      <c r="J8" s="53" t="s">
        <v>73</v>
      </c>
      <c r="K8" s="53" t="s">
        <v>74</v>
      </c>
    </row>
    <row r="9" customFormat="false" ht="13.5" hidden="false" customHeight="true" outlineLevel="0" collapsed="false">
      <c r="A9" s="93" t="s">
        <v>10</v>
      </c>
      <c r="B9" s="94" t="str">
        <f aca="false">IF('Seznam účastníků'!A19="","",'Seznam účastníků'!A19)</f>
        <v/>
      </c>
      <c r="C9" s="94" t="str">
        <f aca="false">IF('Seznam účastníků'!B19="","",'Seznam účastníků'!B19)</f>
        <v/>
      </c>
      <c r="D9" s="95" t="str">
        <f aca="false">IF('Seznam účastníků'!C19="","",'Seznam účastníků'!C19)</f>
        <v/>
      </c>
      <c r="E9" s="96" t="str">
        <f aca="false">IF('Seznam účastníků'!D19="","",'Seznam účastníků'!D19)</f>
        <v/>
      </c>
      <c r="F9" s="94" t="str">
        <f aca="false">IF('Seznam účastníků'!E19="","",'Seznam účastníků'!E19)</f>
        <v/>
      </c>
      <c r="G9" s="97" t="n">
        <f aca="false">IF(ISNUMBER(D9),IF(DATE(YEAR($C$5)-26,MONTH($C$5),DAY($C$5))&lt;$D9,1,0),0)</f>
        <v>0</v>
      </c>
      <c r="H9" s="97" t="n">
        <f aca="false">IF(ISNUMBER(D9),IF(DATE(YEAR($C$5)-26,MONTH($C$5),DAY($C$5))&gt;=$D9,1,0),0)</f>
        <v>0</v>
      </c>
      <c r="I9" s="53" t="n">
        <f aca="false">IF(ISERR(FIND("praha",LOWER(F9))),0,1)*G9</f>
        <v>0</v>
      </c>
      <c r="J9" s="41" t="n">
        <f aca="false">IF(ISNUMBER(D9),IF(DATE(YEAR($C$5)-18,MONTH($C$5),DAY($C$5))&lt;$D9,1,0),0)</f>
        <v>0</v>
      </c>
      <c r="K9" s="53" t="n">
        <f aca="false">IF(ISERR(FIND("praha",LOWER(F9))),0,1)*J9</f>
        <v>0</v>
      </c>
    </row>
    <row r="10" customFormat="false" ht="13.5" hidden="false" customHeight="true" outlineLevel="0" collapsed="false">
      <c r="A10" s="93" t="s">
        <v>12</v>
      </c>
      <c r="B10" s="94" t="str">
        <f aca="false">IF('Seznam účastníků'!A20="","",'Seznam účastníků'!A20)</f>
        <v/>
      </c>
      <c r="C10" s="94" t="str">
        <f aca="false">IF('Seznam účastníků'!B20="","",'Seznam účastníků'!B20)</f>
        <v/>
      </c>
      <c r="D10" s="95" t="str">
        <f aca="false">IF('Seznam účastníků'!C20="","",'Seznam účastníků'!C20)</f>
        <v/>
      </c>
      <c r="E10" s="96" t="str">
        <f aca="false">IF('Seznam účastníků'!D20="","",'Seznam účastníků'!D20)</f>
        <v/>
      </c>
      <c r="F10" s="94" t="str">
        <f aca="false">IF('Seznam účastníků'!E20="","",'Seznam účastníků'!E20)</f>
        <v/>
      </c>
      <c r="G10" s="97" t="n">
        <f aca="false">IF(ISNUMBER(D10),IF(DATE(YEAR($C$5)-26,MONTH($C$5),DAY($C$5))&lt;$D10,1,0),0)</f>
        <v>0</v>
      </c>
      <c r="H10" s="97" t="n">
        <f aca="false">IF(ISNUMBER(D10),IF(DATE(YEAR($C$5)-26,MONTH($C$5),DAY($C$5))&gt;=$D10,1,0),0)</f>
        <v>0</v>
      </c>
      <c r="I10" s="53" t="n">
        <f aca="false">IF(ISERR(FIND("praha",LOWER(F10))),0,1)*G10</f>
        <v>0</v>
      </c>
      <c r="J10" s="41" t="n">
        <f aca="false">IF(ISNUMBER(D10),IF(DATE(YEAR($C$5)-18,MONTH($C$5),DAY($C$5))&lt;$D10,1,0),0)</f>
        <v>0</v>
      </c>
      <c r="K10" s="53" t="n">
        <f aca="false">IF(ISERR(FIND("praha",LOWER(F10))),0,1)*J10</f>
        <v>0</v>
      </c>
    </row>
    <row r="11" customFormat="false" ht="13.5" hidden="false" customHeight="true" outlineLevel="0" collapsed="false">
      <c r="A11" s="93" t="s">
        <v>13</v>
      </c>
      <c r="B11" s="94" t="str">
        <f aca="false">IF('Seznam účastníků'!A21="","",'Seznam účastníků'!A21)</f>
        <v/>
      </c>
      <c r="C11" s="94" t="str">
        <f aca="false">IF('Seznam účastníků'!B21="","",'Seznam účastníků'!B21)</f>
        <v/>
      </c>
      <c r="D11" s="95" t="str">
        <f aca="false">IF('Seznam účastníků'!C21="","",'Seznam účastníků'!C21)</f>
        <v/>
      </c>
      <c r="E11" s="96" t="str">
        <f aca="false">IF('Seznam účastníků'!D21="","",'Seznam účastníků'!D21)</f>
        <v/>
      </c>
      <c r="F11" s="94" t="str">
        <f aca="false">IF('Seznam účastníků'!E21="","",'Seznam účastníků'!E21)</f>
        <v/>
      </c>
      <c r="G11" s="97" t="n">
        <f aca="false">IF(ISNUMBER(D11),IF(DATE(YEAR($C$5)-26,MONTH($C$5),DAY($C$5))&lt;$D11,1,0),0)</f>
        <v>0</v>
      </c>
      <c r="H11" s="97" t="n">
        <f aca="false">IF(ISNUMBER(D11),IF(DATE(YEAR($C$5)-26,MONTH($C$5),DAY($C$5))&gt;=$D11,1,0),0)</f>
        <v>0</v>
      </c>
      <c r="I11" s="53" t="n">
        <f aca="false">IF(ISERR(FIND("praha",LOWER(F11))),0,1)*G11</f>
        <v>0</v>
      </c>
      <c r="J11" s="41" t="n">
        <f aca="false">IF(ISNUMBER(D11),IF(DATE(YEAR($C$5)-18,MONTH($C$5),DAY($C$5))&lt;$D11,1,0),0)</f>
        <v>0</v>
      </c>
      <c r="K11" s="53" t="n">
        <f aca="false">IF(ISERR(FIND("praha",LOWER(F11))),0,1)*J11</f>
        <v>0</v>
      </c>
    </row>
    <row r="12" customFormat="false" ht="13.5" hidden="false" customHeight="true" outlineLevel="0" collapsed="false">
      <c r="A12" s="93" t="s">
        <v>14</v>
      </c>
      <c r="B12" s="94" t="str">
        <f aca="false">IF('Seznam účastníků'!A22="","",'Seznam účastníků'!A22)</f>
        <v/>
      </c>
      <c r="C12" s="94" t="str">
        <f aca="false">IF('Seznam účastníků'!B22="","",'Seznam účastníků'!B22)</f>
        <v/>
      </c>
      <c r="D12" s="95" t="str">
        <f aca="false">IF('Seznam účastníků'!C22="","",'Seznam účastníků'!C22)</f>
        <v/>
      </c>
      <c r="E12" s="96" t="str">
        <f aca="false">IF('Seznam účastníků'!D22="","",'Seznam účastníků'!D22)</f>
        <v/>
      </c>
      <c r="F12" s="94" t="str">
        <f aca="false">IF('Seznam účastníků'!E22="","",'Seznam účastníků'!E22)</f>
        <v/>
      </c>
      <c r="G12" s="97" t="n">
        <f aca="false">IF(ISNUMBER(D12),IF(DATE(YEAR($C$5)-26,MONTH($C$5),DAY($C$5))&lt;$D12,1,0),0)</f>
        <v>0</v>
      </c>
      <c r="H12" s="97" t="n">
        <f aca="false">IF(ISNUMBER(D12),IF(DATE(YEAR($C$5)-26,MONTH($C$5),DAY($C$5))&gt;=$D12,1,0),0)</f>
        <v>0</v>
      </c>
      <c r="I12" s="53" t="n">
        <f aca="false">IF(ISERR(FIND("praha",LOWER(F12))),0,1)*G12</f>
        <v>0</v>
      </c>
      <c r="J12" s="41" t="n">
        <f aca="false">IF(ISNUMBER(D12),IF(DATE(YEAR($C$5)-18,MONTH($C$5),DAY($C$5))&lt;$D12,1,0),0)</f>
        <v>0</v>
      </c>
      <c r="K12" s="53" t="n">
        <f aca="false">IF(ISERR(FIND("praha",LOWER(F12))),0,1)*J12</f>
        <v>0</v>
      </c>
    </row>
    <row r="13" customFormat="false" ht="13.5" hidden="false" customHeight="true" outlineLevel="0" collapsed="false">
      <c r="A13" s="93" t="s">
        <v>15</v>
      </c>
      <c r="B13" s="94" t="str">
        <f aca="false">IF('Seznam účastníků'!A23="","",'Seznam účastníků'!A23)</f>
        <v/>
      </c>
      <c r="C13" s="94" t="str">
        <f aca="false">IF('Seznam účastníků'!B23="","",'Seznam účastníků'!B23)</f>
        <v/>
      </c>
      <c r="D13" s="95" t="str">
        <f aca="false">IF('Seznam účastníků'!C23="","",'Seznam účastníků'!C23)</f>
        <v/>
      </c>
      <c r="E13" s="96" t="str">
        <f aca="false">IF('Seznam účastníků'!D23="","",'Seznam účastníků'!D23)</f>
        <v/>
      </c>
      <c r="F13" s="94" t="str">
        <f aca="false">IF('Seznam účastníků'!E23="","",'Seznam účastníků'!E23)</f>
        <v/>
      </c>
      <c r="G13" s="97" t="n">
        <f aca="false">IF(ISNUMBER(D13),IF(DATE(YEAR($C$5)-26,MONTH($C$5),DAY($C$5))&lt;$D13,1,0),0)</f>
        <v>0</v>
      </c>
      <c r="H13" s="97" t="n">
        <f aca="false">IF(ISNUMBER(D13),IF(DATE(YEAR($C$5)-26,MONTH($C$5),DAY($C$5))&gt;=$D13,1,0),0)</f>
        <v>0</v>
      </c>
      <c r="I13" s="53" t="n">
        <f aca="false">IF(ISERR(FIND("praha",LOWER(F13))),0,1)*G13</f>
        <v>0</v>
      </c>
      <c r="J13" s="41" t="n">
        <f aca="false">IF(ISNUMBER(D13),IF(DATE(YEAR($C$5)-18,MONTH($C$5),DAY($C$5))&lt;$D13,1,0),0)</f>
        <v>0</v>
      </c>
      <c r="K13" s="53" t="n">
        <f aca="false">IF(ISERR(FIND("praha",LOWER(F13))),0,1)*J13</f>
        <v>0</v>
      </c>
    </row>
    <row r="14" customFormat="false" ht="13.5" hidden="false" customHeight="true" outlineLevel="0" collapsed="false">
      <c r="A14" s="93" t="s">
        <v>16</v>
      </c>
      <c r="B14" s="94" t="str">
        <f aca="false">IF('Seznam účastníků'!A24="","",'Seznam účastníků'!A24)</f>
        <v/>
      </c>
      <c r="C14" s="94" t="str">
        <f aca="false">IF('Seznam účastníků'!B24="","",'Seznam účastníků'!B24)</f>
        <v/>
      </c>
      <c r="D14" s="95" t="str">
        <f aca="false">IF('Seznam účastníků'!C24="","",'Seznam účastníků'!C24)</f>
        <v/>
      </c>
      <c r="E14" s="96" t="str">
        <f aca="false">IF('Seznam účastníků'!D24="","",'Seznam účastníků'!D24)</f>
        <v/>
      </c>
      <c r="F14" s="94" t="str">
        <f aca="false">IF('Seznam účastníků'!E24="","",'Seznam účastníků'!E24)</f>
        <v/>
      </c>
      <c r="G14" s="97" t="n">
        <f aca="false">IF(ISNUMBER(D14),IF(DATE(YEAR($C$5)-26,MONTH($C$5),DAY($C$5))&lt;$D14,1,0),0)</f>
        <v>0</v>
      </c>
      <c r="H14" s="97" t="n">
        <f aca="false">IF(ISNUMBER(D14),IF(DATE(YEAR($C$5)-26,MONTH($C$5),DAY($C$5))&gt;=$D14,1,0),0)</f>
        <v>0</v>
      </c>
      <c r="I14" s="53" t="n">
        <f aca="false">IF(ISERR(FIND("praha",LOWER(F14))),0,1)*G14</f>
        <v>0</v>
      </c>
      <c r="J14" s="41" t="n">
        <f aca="false">IF(ISNUMBER(D14),IF(DATE(YEAR($C$5)-18,MONTH($C$5),DAY($C$5))&lt;$D14,1,0),0)</f>
        <v>0</v>
      </c>
      <c r="K14" s="53" t="n">
        <f aca="false">IF(ISERR(FIND("praha",LOWER(F14))),0,1)*J14</f>
        <v>0</v>
      </c>
    </row>
    <row r="15" customFormat="false" ht="13.5" hidden="false" customHeight="true" outlineLevel="0" collapsed="false">
      <c r="A15" s="93" t="s">
        <v>17</v>
      </c>
      <c r="B15" s="94" t="str">
        <f aca="false">IF('Seznam účastníků'!A25="","",'Seznam účastníků'!A25)</f>
        <v/>
      </c>
      <c r="C15" s="94" t="str">
        <f aca="false">IF('Seznam účastníků'!B25="","",'Seznam účastníků'!B25)</f>
        <v/>
      </c>
      <c r="D15" s="95" t="str">
        <f aca="false">IF('Seznam účastníků'!C25="","",'Seznam účastníků'!C25)</f>
        <v/>
      </c>
      <c r="E15" s="96" t="str">
        <f aca="false">IF('Seznam účastníků'!D25="","",'Seznam účastníků'!D25)</f>
        <v/>
      </c>
      <c r="F15" s="94" t="str">
        <f aca="false">IF('Seznam účastníků'!E25="","",'Seznam účastníků'!E25)</f>
        <v/>
      </c>
      <c r="G15" s="97" t="n">
        <f aca="false">IF(ISNUMBER(D15),IF(DATE(YEAR($C$5)-26,MONTH($C$5),DAY($C$5))&lt;$D15,1,0),0)</f>
        <v>0</v>
      </c>
      <c r="H15" s="97" t="n">
        <f aca="false">IF(ISNUMBER(D15),IF(DATE(YEAR($C$5)-26,MONTH($C$5),DAY($C$5))&gt;=$D15,1,0),0)</f>
        <v>0</v>
      </c>
      <c r="I15" s="53" t="n">
        <f aca="false">IF(ISERR(FIND("praha",LOWER(F15))),0,1)*G15</f>
        <v>0</v>
      </c>
      <c r="J15" s="41" t="n">
        <f aca="false">IF(ISNUMBER(D15),IF(DATE(YEAR($C$5)-18,MONTH($C$5),DAY($C$5))&lt;$D15,1,0),0)</f>
        <v>0</v>
      </c>
      <c r="K15" s="53" t="n">
        <f aca="false">IF(ISERR(FIND("praha",LOWER(F15))),0,1)*J15</f>
        <v>0</v>
      </c>
    </row>
    <row r="16" customFormat="false" ht="13.5" hidden="false" customHeight="true" outlineLevel="0" collapsed="false">
      <c r="A16" s="93" t="s">
        <v>18</v>
      </c>
      <c r="B16" s="94" t="str">
        <f aca="false">IF('Seznam účastníků'!A26="","",'Seznam účastníků'!A26)</f>
        <v/>
      </c>
      <c r="C16" s="94" t="str">
        <f aca="false">IF('Seznam účastníků'!B26="","",'Seznam účastníků'!B26)</f>
        <v/>
      </c>
      <c r="D16" s="95" t="str">
        <f aca="false">IF('Seznam účastníků'!C26="","",'Seznam účastníků'!C26)</f>
        <v/>
      </c>
      <c r="E16" s="96" t="str">
        <f aca="false">IF('Seznam účastníků'!D26="","",'Seznam účastníků'!D26)</f>
        <v/>
      </c>
      <c r="F16" s="94" t="str">
        <f aca="false">IF('Seznam účastníků'!E26="","",'Seznam účastníků'!E26)</f>
        <v/>
      </c>
      <c r="G16" s="97" t="n">
        <f aca="false">IF(ISNUMBER(D16),IF(DATE(YEAR($C$5)-26,MONTH($C$5),DAY($C$5))&lt;$D16,1,0),0)</f>
        <v>0</v>
      </c>
      <c r="H16" s="97" t="n">
        <f aca="false">IF(ISNUMBER(D16),IF(DATE(YEAR($C$5)-26,MONTH($C$5),DAY($C$5))&gt;=$D16,1,0),0)</f>
        <v>0</v>
      </c>
      <c r="I16" s="53" t="n">
        <f aca="false">IF(ISERR(FIND("praha",LOWER(F16))),0,1)*G16</f>
        <v>0</v>
      </c>
      <c r="J16" s="41" t="n">
        <f aca="false">IF(ISNUMBER(D16),IF(DATE(YEAR($C$5)-18,MONTH($C$5),DAY($C$5))&lt;$D16,1,0),0)</f>
        <v>0</v>
      </c>
      <c r="K16" s="53" t="n">
        <f aca="false">IF(ISERR(FIND("praha",LOWER(F16))),0,1)*J16</f>
        <v>0</v>
      </c>
    </row>
    <row r="17" customFormat="false" ht="13.5" hidden="false" customHeight="true" outlineLevel="0" collapsed="false">
      <c r="A17" s="93" t="s">
        <v>19</v>
      </c>
      <c r="B17" s="94" t="str">
        <f aca="false">IF('Seznam účastníků'!A27="","",'Seznam účastníků'!A27)</f>
        <v/>
      </c>
      <c r="C17" s="94" t="str">
        <f aca="false">IF('Seznam účastníků'!B27="","",'Seznam účastníků'!B27)</f>
        <v/>
      </c>
      <c r="D17" s="95" t="str">
        <f aca="false">IF('Seznam účastníků'!C27="","",'Seznam účastníků'!C27)</f>
        <v/>
      </c>
      <c r="E17" s="96" t="str">
        <f aca="false">IF('Seznam účastníků'!D27="","",'Seznam účastníků'!D27)</f>
        <v/>
      </c>
      <c r="F17" s="94" t="str">
        <f aca="false">IF('Seznam účastníků'!E27="","",'Seznam účastníků'!E27)</f>
        <v/>
      </c>
      <c r="G17" s="97" t="n">
        <f aca="false">IF(ISNUMBER(D17),IF(DATE(YEAR($C$5)-26,MONTH($C$5),DAY($C$5))&lt;$D17,1,0),0)</f>
        <v>0</v>
      </c>
      <c r="H17" s="97" t="n">
        <f aca="false">IF(ISNUMBER(D17),IF(DATE(YEAR($C$5)-26,MONTH($C$5),DAY($C$5))&gt;=$D17,1,0),0)</f>
        <v>0</v>
      </c>
      <c r="I17" s="53" t="n">
        <f aca="false">IF(ISERR(FIND("praha",LOWER(F17))),0,1)*G17</f>
        <v>0</v>
      </c>
      <c r="J17" s="41" t="n">
        <f aca="false">IF(ISNUMBER(D17),IF(DATE(YEAR($C$5)-18,MONTH($C$5),DAY($C$5))&lt;$D17,1,0),0)</f>
        <v>0</v>
      </c>
      <c r="K17" s="53" t="n">
        <f aca="false">IF(ISERR(FIND("praha",LOWER(F17))),0,1)*J17</f>
        <v>0</v>
      </c>
    </row>
    <row r="18" customFormat="false" ht="13.5" hidden="false" customHeight="true" outlineLevel="0" collapsed="false">
      <c r="A18" s="93" t="s">
        <v>20</v>
      </c>
      <c r="B18" s="94" t="str">
        <f aca="false">IF('Seznam účastníků'!A28="","",'Seznam účastníků'!A28)</f>
        <v/>
      </c>
      <c r="C18" s="94" t="str">
        <f aca="false">IF('Seznam účastníků'!B28="","",'Seznam účastníků'!B28)</f>
        <v/>
      </c>
      <c r="D18" s="95" t="str">
        <f aca="false">IF('Seznam účastníků'!C28="","",'Seznam účastníků'!C28)</f>
        <v/>
      </c>
      <c r="E18" s="96" t="str">
        <f aca="false">IF('Seznam účastníků'!D28="","",'Seznam účastníků'!D28)</f>
        <v/>
      </c>
      <c r="F18" s="94" t="str">
        <f aca="false">IF('Seznam účastníků'!E28="","",'Seznam účastníků'!E28)</f>
        <v/>
      </c>
      <c r="G18" s="97" t="n">
        <f aca="false">IF(ISNUMBER(D18),IF(DATE(YEAR($C$5)-26,MONTH($C$5),DAY($C$5))&lt;$D18,1,0),0)</f>
        <v>0</v>
      </c>
      <c r="H18" s="97" t="n">
        <f aca="false">IF(ISNUMBER(D18),IF(DATE(YEAR($C$5)-26,MONTH($C$5),DAY($C$5))&gt;=$D18,1,0),0)</f>
        <v>0</v>
      </c>
      <c r="I18" s="53" t="n">
        <f aca="false">IF(ISERR(FIND("praha",LOWER(F18))),0,1)*G18</f>
        <v>0</v>
      </c>
      <c r="J18" s="41" t="n">
        <f aca="false">IF(ISNUMBER(D18),IF(DATE(YEAR($C$5)-18,MONTH($C$5),DAY($C$5))&lt;$D18,1,0),0)</f>
        <v>0</v>
      </c>
      <c r="K18" s="53" t="n">
        <f aca="false">IF(ISERR(FIND("praha",LOWER(F18))),0,1)*J18</f>
        <v>0</v>
      </c>
    </row>
    <row r="19" customFormat="false" ht="13.5" hidden="false" customHeight="true" outlineLevel="0" collapsed="false">
      <c r="A19" s="93" t="s">
        <v>21</v>
      </c>
      <c r="B19" s="94" t="str">
        <f aca="false">IF('Seznam účastníků'!A29="","",'Seznam účastníků'!A29)</f>
        <v/>
      </c>
      <c r="C19" s="94" t="str">
        <f aca="false">IF('Seznam účastníků'!B29="","",'Seznam účastníků'!B29)</f>
        <v/>
      </c>
      <c r="D19" s="95" t="str">
        <f aca="false">IF('Seznam účastníků'!C29="","",'Seznam účastníků'!C29)</f>
        <v/>
      </c>
      <c r="E19" s="96" t="str">
        <f aca="false">IF('Seznam účastníků'!D29="","",'Seznam účastníků'!D29)</f>
        <v/>
      </c>
      <c r="F19" s="94" t="str">
        <f aca="false">IF('Seznam účastníků'!E29="","",'Seznam účastníků'!E29)</f>
        <v/>
      </c>
      <c r="G19" s="97" t="n">
        <f aca="false">IF(ISNUMBER(D19),IF(DATE(YEAR($C$5)-26,MONTH($C$5),DAY($C$5))&lt;$D19,1,0),0)</f>
        <v>0</v>
      </c>
      <c r="H19" s="97" t="n">
        <f aca="false">IF(ISNUMBER(D19),IF(DATE(YEAR($C$5)-26,MONTH($C$5),DAY($C$5))&gt;=$D19,1,0),0)</f>
        <v>0</v>
      </c>
      <c r="I19" s="53" t="n">
        <f aca="false">IF(ISERR(FIND("praha",LOWER(F19))),0,1)*G19</f>
        <v>0</v>
      </c>
      <c r="J19" s="41" t="n">
        <f aca="false">IF(ISNUMBER(D19),IF(DATE(YEAR($C$5)-18,MONTH($C$5),DAY($C$5))&lt;$D19,1,0),0)</f>
        <v>0</v>
      </c>
      <c r="K19" s="53" t="n">
        <f aca="false">IF(ISERR(FIND("praha",LOWER(F19))),0,1)*J19</f>
        <v>0</v>
      </c>
    </row>
    <row r="20" customFormat="false" ht="13.5" hidden="false" customHeight="true" outlineLevel="0" collapsed="false">
      <c r="A20" s="93" t="s">
        <v>22</v>
      </c>
      <c r="B20" s="94" t="str">
        <f aca="false">IF('Seznam účastníků'!A30="","",'Seznam účastníků'!A30)</f>
        <v/>
      </c>
      <c r="C20" s="94" t="str">
        <f aca="false">IF('Seznam účastníků'!B30="","",'Seznam účastníků'!B30)</f>
        <v/>
      </c>
      <c r="D20" s="95" t="str">
        <f aca="false">IF('Seznam účastníků'!C30="","",'Seznam účastníků'!C30)</f>
        <v/>
      </c>
      <c r="E20" s="96" t="str">
        <f aca="false">IF('Seznam účastníků'!D30="","",'Seznam účastníků'!D30)</f>
        <v/>
      </c>
      <c r="F20" s="94" t="str">
        <f aca="false">IF('Seznam účastníků'!E30="","",'Seznam účastníků'!E30)</f>
        <v/>
      </c>
      <c r="G20" s="97" t="n">
        <f aca="false">IF(ISNUMBER(D20),IF(DATE(YEAR($C$5)-26,MONTH($C$5),DAY($C$5))&lt;$D20,1,0),0)</f>
        <v>0</v>
      </c>
      <c r="H20" s="97" t="n">
        <f aca="false">IF(ISNUMBER(D20),IF(DATE(YEAR($C$5)-26,MONTH($C$5),DAY($C$5))&gt;=$D20,1,0),0)</f>
        <v>0</v>
      </c>
      <c r="I20" s="53" t="n">
        <f aca="false">IF(ISERR(FIND("praha",LOWER(F20))),0,1)*G20</f>
        <v>0</v>
      </c>
      <c r="J20" s="41" t="n">
        <f aca="false">IF(ISNUMBER(D20),IF(DATE(YEAR($C$5)-18,MONTH($C$5),DAY($C$5))&lt;$D20,1,0),0)</f>
        <v>0</v>
      </c>
      <c r="K20" s="53" t="n">
        <f aca="false">IF(ISERR(FIND("praha",LOWER(F20))),0,1)*J20</f>
        <v>0</v>
      </c>
    </row>
    <row r="21" customFormat="false" ht="13.5" hidden="false" customHeight="true" outlineLevel="0" collapsed="false">
      <c r="A21" s="93" t="s">
        <v>23</v>
      </c>
      <c r="B21" s="94" t="str">
        <f aca="false">IF('Seznam účastníků'!A31="","",'Seznam účastníků'!A31)</f>
        <v/>
      </c>
      <c r="C21" s="94" t="str">
        <f aca="false">IF('Seznam účastníků'!B31="","",'Seznam účastníků'!B31)</f>
        <v/>
      </c>
      <c r="D21" s="95" t="str">
        <f aca="false">IF('Seznam účastníků'!C31="","",'Seznam účastníků'!C31)</f>
        <v/>
      </c>
      <c r="E21" s="96" t="str">
        <f aca="false">IF('Seznam účastníků'!D31="","",'Seznam účastníků'!D31)</f>
        <v/>
      </c>
      <c r="F21" s="94" t="str">
        <f aca="false">IF('Seznam účastníků'!E31="","",'Seznam účastníků'!E31)</f>
        <v/>
      </c>
      <c r="G21" s="97" t="n">
        <f aca="false">IF(ISNUMBER(D21),IF(DATE(YEAR($C$5)-26,MONTH($C$5),DAY($C$5))&lt;$D21,1,0),0)</f>
        <v>0</v>
      </c>
      <c r="H21" s="97" t="n">
        <f aca="false">IF(ISNUMBER(D21),IF(DATE(YEAR($C$5)-26,MONTH($C$5),DAY($C$5))&gt;=$D21,1,0),0)</f>
        <v>0</v>
      </c>
      <c r="I21" s="53" t="n">
        <f aca="false">IF(ISERR(FIND("praha",LOWER(F21))),0,1)*G21</f>
        <v>0</v>
      </c>
      <c r="J21" s="41" t="n">
        <f aca="false">IF(ISNUMBER(D21),IF(DATE(YEAR($C$5)-18,MONTH($C$5),DAY($C$5))&lt;$D21,1,0),0)</f>
        <v>0</v>
      </c>
      <c r="K21" s="53" t="n">
        <f aca="false">IF(ISERR(FIND("praha",LOWER(F21))),0,1)*J21</f>
        <v>0</v>
      </c>
    </row>
    <row r="22" customFormat="false" ht="13.5" hidden="false" customHeight="true" outlineLevel="0" collapsed="false">
      <c r="A22" s="93" t="s">
        <v>24</v>
      </c>
      <c r="B22" s="94" t="str">
        <f aca="false">IF('Seznam účastníků'!A32="","",'Seznam účastníků'!A32)</f>
        <v/>
      </c>
      <c r="C22" s="94" t="str">
        <f aca="false">IF('Seznam účastníků'!B32="","",'Seznam účastníků'!B32)</f>
        <v/>
      </c>
      <c r="D22" s="95" t="str">
        <f aca="false">IF('Seznam účastníků'!C32="","",'Seznam účastníků'!C32)</f>
        <v/>
      </c>
      <c r="E22" s="96" t="str">
        <f aca="false">IF('Seznam účastníků'!D32="","",'Seznam účastníků'!D32)</f>
        <v/>
      </c>
      <c r="F22" s="94" t="str">
        <f aca="false">IF('Seznam účastníků'!E32="","",'Seznam účastníků'!E32)</f>
        <v/>
      </c>
      <c r="G22" s="97" t="n">
        <f aca="false">IF(ISNUMBER(D22),IF(DATE(YEAR($C$5)-26,MONTH($C$5),DAY($C$5))&lt;$D22,1,0),0)</f>
        <v>0</v>
      </c>
      <c r="H22" s="97" t="n">
        <f aca="false">IF(ISNUMBER(D22),IF(DATE(YEAR($C$5)-26,MONTH($C$5),DAY($C$5))&gt;=$D22,1,0),0)</f>
        <v>0</v>
      </c>
      <c r="I22" s="53" t="n">
        <f aca="false">IF(ISERR(FIND("praha",LOWER(F22))),0,1)*G22</f>
        <v>0</v>
      </c>
      <c r="J22" s="41" t="n">
        <f aca="false">IF(ISNUMBER(D22),IF(DATE(YEAR($C$5)-18,MONTH($C$5),DAY($C$5))&lt;$D22,1,0),0)</f>
        <v>0</v>
      </c>
      <c r="K22" s="53" t="n">
        <f aca="false">IF(ISERR(FIND("praha",LOWER(F22))),0,1)*J22</f>
        <v>0</v>
      </c>
    </row>
    <row r="23" customFormat="false" ht="13.5" hidden="false" customHeight="true" outlineLevel="0" collapsed="false">
      <c r="A23" s="93" t="s">
        <v>25</v>
      </c>
      <c r="B23" s="94" t="str">
        <f aca="false">IF('Seznam účastníků'!A33="","",'Seznam účastníků'!A33)</f>
        <v/>
      </c>
      <c r="C23" s="94" t="str">
        <f aca="false">IF('Seznam účastníků'!B33="","",'Seznam účastníků'!B33)</f>
        <v/>
      </c>
      <c r="D23" s="95" t="str">
        <f aca="false">IF('Seznam účastníků'!C33="","",'Seznam účastníků'!C33)</f>
        <v/>
      </c>
      <c r="E23" s="96" t="str">
        <f aca="false">IF('Seznam účastníků'!D33="","",'Seznam účastníků'!D33)</f>
        <v/>
      </c>
      <c r="F23" s="94" t="str">
        <f aca="false">IF('Seznam účastníků'!E33="","",'Seznam účastníků'!E33)</f>
        <v/>
      </c>
      <c r="G23" s="97" t="n">
        <f aca="false">IF(ISNUMBER(D23),IF(DATE(YEAR($C$5)-26,MONTH($C$5),DAY($C$5))&lt;$D23,1,0),0)</f>
        <v>0</v>
      </c>
      <c r="H23" s="97" t="n">
        <f aca="false">IF(ISNUMBER(D23),IF(DATE(YEAR($C$5)-26,MONTH($C$5),DAY($C$5))&gt;=$D23,1,0),0)</f>
        <v>0</v>
      </c>
      <c r="I23" s="53" t="n">
        <f aca="false">IF(ISERR(FIND("praha",LOWER(F23))),0,1)*G23</f>
        <v>0</v>
      </c>
      <c r="J23" s="41" t="n">
        <f aca="false">IF(ISNUMBER(D23),IF(DATE(YEAR($C$5)-18,MONTH($C$5),DAY($C$5))&lt;$D23,1,0),0)</f>
        <v>0</v>
      </c>
      <c r="K23" s="53" t="n">
        <f aca="false">IF(ISERR(FIND("praha",LOWER(F23))),0,1)*J23</f>
        <v>0</v>
      </c>
    </row>
    <row r="24" customFormat="false" ht="13.5" hidden="false" customHeight="true" outlineLevel="0" collapsed="false">
      <c r="A24" s="93" t="s">
        <v>26</v>
      </c>
      <c r="B24" s="94" t="str">
        <f aca="false">IF('Seznam účastníků'!A34="","",'Seznam účastníků'!A34)</f>
        <v/>
      </c>
      <c r="C24" s="94" t="str">
        <f aca="false">IF('Seznam účastníků'!B34="","",'Seznam účastníků'!B34)</f>
        <v/>
      </c>
      <c r="D24" s="95" t="str">
        <f aca="false">IF('Seznam účastníků'!C34="","",'Seznam účastníků'!C34)</f>
        <v/>
      </c>
      <c r="E24" s="96" t="str">
        <f aca="false">IF('Seznam účastníků'!D34="","",'Seznam účastníků'!D34)</f>
        <v/>
      </c>
      <c r="F24" s="94" t="str">
        <f aca="false">IF('Seznam účastníků'!E34="","",'Seznam účastníků'!E34)</f>
        <v/>
      </c>
      <c r="G24" s="97" t="n">
        <f aca="false">IF(ISNUMBER(D24),IF(DATE(YEAR($C$5)-26,MONTH($C$5),DAY($C$5))&lt;$D24,1,0),0)</f>
        <v>0</v>
      </c>
      <c r="H24" s="97" t="n">
        <f aca="false">IF(ISNUMBER(D24),IF(DATE(YEAR($C$5)-26,MONTH($C$5),DAY($C$5))&gt;=$D24,1,0),0)</f>
        <v>0</v>
      </c>
      <c r="I24" s="53" t="n">
        <f aca="false">IF(ISERR(FIND("praha",LOWER(F24))),0,1)*G24</f>
        <v>0</v>
      </c>
      <c r="J24" s="41" t="n">
        <f aca="false">IF(ISNUMBER(D24),IF(DATE(YEAR($C$5)-18,MONTH($C$5),DAY($C$5))&lt;$D24,1,0),0)</f>
        <v>0</v>
      </c>
      <c r="K24" s="53" t="n">
        <f aca="false">IF(ISERR(FIND("praha",LOWER(F24))),0,1)*J24</f>
        <v>0</v>
      </c>
    </row>
    <row r="25" customFormat="false" ht="13.5" hidden="false" customHeight="true" outlineLevel="0" collapsed="false">
      <c r="A25" s="93" t="s">
        <v>27</v>
      </c>
      <c r="B25" s="94" t="str">
        <f aca="false">IF('Seznam účastníků'!A35="","",'Seznam účastníků'!A35)</f>
        <v/>
      </c>
      <c r="C25" s="94" t="str">
        <f aca="false">IF('Seznam účastníků'!B35="","",'Seznam účastníků'!B35)</f>
        <v/>
      </c>
      <c r="D25" s="95" t="str">
        <f aca="false">IF('Seznam účastníků'!C35="","",'Seznam účastníků'!C35)</f>
        <v/>
      </c>
      <c r="E25" s="96" t="str">
        <f aca="false">IF('Seznam účastníků'!D35="","",'Seznam účastníků'!D35)</f>
        <v/>
      </c>
      <c r="F25" s="94" t="str">
        <f aca="false">IF('Seznam účastníků'!E35="","",'Seznam účastníků'!E35)</f>
        <v/>
      </c>
      <c r="G25" s="97" t="n">
        <f aca="false">IF(ISNUMBER(D25),IF(DATE(YEAR($C$5)-26,MONTH($C$5),DAY($C$5))&lt;$D25,1,0),0)</f>
        <v>0</v>
      </c>
      <c r="H25" s="97" t="n">
        <f aca="false">IF(ISNUMBER(D25),IF(DATE(YEAR($C$5)-26,MONTH($C$5),DAY($C$5))&gt;=$D25,1,0),0)</f>
        <v>0</v>
      </c>
      <c r="I25" s="53" t="n">
        <f aca="false">IF(ISERR(FIND("praha",LOWER(F25))),0,1)*G25</f>
        <v>0</v>
      </c>
      <c r="J25" s="41" t="n">
        <f aca="false">IF(ISNUMBER(D25),IF(DATE(YEAR($C$5)-18,MONTH($C$5),DAY($C$5))&lt;$D25,1,0),0)</f>
        <v>0</v>
      </c>
      <c r="K25" s="53" t="n">
        <f aca="false">IF(ISERR(FIND("praha",LOWER(F25))),0,1)*J25</f>
        <v>0</v>
      </c>
    </row>
    <row r="26" customFormat="false" ht="13.5" hidden="false" customHeight="true" outlineLevel="0" collapsed="false">
      <c r="A26" s="93" t="s">
        <v>28</v>
      </c>
      <c r="B26" s="94" t="str">
        <f aca="false">IF('Seznam účastníků'!A36="","",'Seznam účastníků'!A36)</f>
        <v/>
      </c>
      <c r="C26" s="94" t="str">
        <f aca="false">IF('Seznam účastníků'!B36="","",'Seznam účastníků'!B36)</f>
        <v/>
      </c>
      <c r="D26" s="95" t="str">
        <f aca="false">IF('Seznam účastníků'!C36="","",'Seznam účastníků'!C36)</f>
        <v/>
      </c>
      <c r="E26" s="96" t="str">
        <f aca="false">IF('Seznam účastníků'!D36="","",'Seznam účastníků'!D36)</f>
        <v/>
      </c>
      <c r="F26" s="94" t="str">
        <f aca="false">IF('Seznam účastníků'!E36="","",'Seznam účastníků'!E36)</f>
        <v/>
      </c>
      <c r="G26" s="97" t="n">
        <f aca="false">IF(ISNUMBER(D26),IF(DATE(YEAR($C$5)-26,MONTH($C$5),DAY($C$5))&lt;$D26,1,0),0)</f>
        <v>0</v>
      </c>
      <c r="H26" s="97" t="n">
        <f aca="false">IF(ISNUMBER(D26),IF(DATE(YEAR($C$5)-26,MONTH($C$5),DAY($C$5))&gt;=$D26,1,0),0)</f>
        <v>0</v>
      </c>
      <c r="I26" s="53" t="n">
        <f aca="false">IF(ISERR(FIND("praha",LOWER(F26))),0,1)*G26</f>
        <v>0</v>
      </c>
      <c r="J26" s="41" t="n">
        <f aca="false">IF(ISNUMBER(D26),IF(DATE(YEAR($C$5)-18,MONTH($C$5),DAY($C$5))&lt;$D26,1,0),0)</f>
        <v>0</v>
      </c>
      <c r="K26" s="53" t="n">
        <f aca="false">IF(ISERR(FIND("praha",LOWER(F26))),0,1)*J26</f>
        <v>0</v>
      </c>
    </row>
    <row r="27" customFormat="false" ht="13.5" hidden="false" customHeight="true" outlineLevel="0" collapsed="false">
      <c r="A27" s="93" t="s">
        <v>29</v>
      </c>
      <c r="B27" s="94" t="str">
        <f aca="false">IF('Seznam účastníků'!A37="","",'Seznam účastníků'!A37)</f>
        <v/>
      </c>
      <c r="C27" s="94" t="str">
        <f aca="false">IF('Seznam účastníků'!B37="","",'Seznam účastníků'!B37)</f>
        <v/>
      </c>
      <c r="D27" s="95" t="str">
        <f aca="false">IF('Seznam účastníků'!C37="","",'Seznam účastníků'!C37)</f>
        <v/>
      </c>
      <c r="E27" s="96" t="str">
        <f aca="false">IF('Seznam účastníků'!D37="","",'Seznam účastníků'!D37)</f>
        <v/>
      </c>
      <c r="F27" s="94" t="str">
        <f aca="false">IF('Seznam účastníků'!E37="","",'Seznam účastníků'!E37)</f>
        <v/>
      </c>
      <c r="G27" s="97" t="n">
        <f aca="false">IF(ISNUMBER(D27),IF(DATE(YEAR($C$5)-26,MONTH($C$5),DAY($C$5))&lt;$D27,1,0),0)</f>
        <v>0</v>
      </c>
      <c r="H27" s="97" t="n">
        <f aca="false">IF(ISNUMBER(D27),IF(DATE(YEAR($C$5)-26,MONTH($C$5),DAY($C$5))&gt;=$D27,1,0),0)</f>
        <v>0</v>
      </c>
      <c r="I27" s="53" t="n">
        <f aca="false">IF(ISERR(FIND("praha",LOWER(F27))),0,1)*G27</f>
        <v>0</v>
      </c>
      <c r="J27" s="41" t="n">
        <f aca="false">IF(ISNUMBER(D27),IF(DATE(YEAR($C$5)-18,MONTH($C$5),DAY($C$5))&lt;$D27,1,0),0)</f>
        <v>0</v>
      </c>
      <c r="K27" s="53" t="n">
        <f aca="false">IF(ISERR(FIND("praha",LOWER(F27))),0,1)*J27</f>
        <v>0</v>
      </c>
    </row>
    <row r="28" customFormat="false" ht="13.5" hidden="false" customHeight="true" outlineLevel="0" collapsed="false">
      <c r="A28" s="93" t="s">
        <v>30</v>
      </c>
      <c r="B28" s="94" t="str">
        <f aca="false">IF('Seznam účastníků'!A38="","",'Seznam účastníků'!A38)</f>
        <v/>
      </c>
      <c r="C28" s="94" t="str">
        <f aca="false">IF('Seznam účastníků'!B38="","",'Seznam účastníků'!B38)</f>
        <v/>
      </c>
      <c r="D28" s="95" t="str">
        <f aca="false">IF('Seznam účastníků'!C38="","",'Seznam účastníků'!C38)</f>
        <v/>
      </c>
      <c r="E28" s="96" t="str">
        <f aca="false">IF('Seznam účastníků'!D38="","",'Seznam účastníků'!D38)</f>
        <v/>
      </c>
      <c r="F28" s="94" t="str">
        <f aca="false">IF('Seznam účastníků'!E38="","",'Seznam účastníků'!E38)</f>
        <v/>
      </c>
      <c r="G28" s="97" t="n">
        <f aca="false">IF(ISNUMBER(D28),IF(DATE(YEAR($C$5)-26,MONTH($C$5),DAY($C$5))&lt;$D28,1,0),0)</f>
        <v>0</v>
      </c>
      <c r="H28" s="97" t="n">
        <f aca="false">IF(ISNUMBER(D28),IF(DATE(YEAR($C$5)-26,MONTH($C$5),DAY($C$5))&gt;=$D28,1,0),0)</f>
        <v>0</v>
      </c>
      <c r="I28" s="53" t="n">
        <f aca="false">IF(ISERR(FIND("praha",LOWER(F28))),0,1)*G28</f>
        <v>0</v>
      </c>
      <c r="J28" s="41" t="n">
        <f aca="false">IF(ISNUMBER(D28),IF(DATE(YEAR($C$5)-18,MONTH($C$5),DAY($C$5))&lt;$D28,1,0),0)</f>
        <v>0</v>
      </c>
      <c r="K28" s="53" t="n">
        <f aca="false">IF(ISERR(FIND("praha",LOWER(F28))),0,1)*J28</f>
        <v>0</v>
      </c>
    </row>
    <row r="29" customFormat="false" ht="13.5" hidden="false" customHeight="true" outlineLevel="0" collapsed="false">
      <c r="A29" s="93" t="s">
        <v>31</v>
      </c>
      <c r="B29" s="94" t="str">
        <f aca="false">IF('Seznam účastníků'!A39="","",'Seznam účastníků'!A39)</f>
        <v/>
      </c>
      <c r="C29" s="94" t="str">
        <f aca="false">IF('Seznam účastníků'!B39="","",'Seznam účastníků'!B39)</f>
        <v/>
      </c>
      <c r="D29" s="95" t="str">
        <f aca="false">IF('Seznam účastníků'!C39="","",'Seznam účastníků'!C39)</f>
        <v/>
      </c>
      <c r="E29" s="96" t="str">
        <f aca="false">IF('Seznam účastníků'!D39="","",'Seznam účastníků'!D39)</f>
        <v/>
      </c>
      <c r="F29" s="94" t="str">
        <f aca="false">IF('Seznam účastníků'!E39="","",'Seznam účastníků'!E39)</f>
        <v/>
      </c>
      <c r="G29" s="97" t="n">
        <f aca="false">IF(ISNUMBER(D29),IF(DATE(YEAR($C$5)-26,MONTH($C$5),DAY($C$5))&lt;$D29,1,0),0)</f>
        <v>0</v>
      </c>
      <c r="H29" s="97" t="n">
        <f aca="false">IF(ISNUMBER(D29),IF(DATE(YEAR($C$5)-26,MONTH($C$5),DAY($C$5))&gt;=$D29,1,0),0)</f>
        <v>0</v>
      </c>
      <c r="I29" s="53" t="n">
        <f aca="false">IF(ISERR(FIND("praha",LOWER(F29))),0,1)*G29</f>
        <v>0</v>
      </c>
      <c r="J29" s="41" t="n">
        <f aca="false">IF(ISNUMBER(D29),IF(DATE(YEAR($C$5)-18,MONTH($C$5),DAY($C$5))&lt;$D29,1,0),0)</f>
        <v>0</v>
      </c>
      <c r="K29" s="53" t="n">
        <f aca="false">IF(ISERR(FIND("praha",LOWER(F29))),0,1)*J29</f>
        <v>0</v>
      </c>
    </row>
    <row r="30" customFormat="false" ht="13.5" hidden="false" customHeight="true" outlineLevel="0" collapsed="false">
      <c r="A30" s="93" t="s">
        <v>32</v>
      </c>
      <c r="B30" s="94" t="str">
        <f aca="false">IF('Seznam účastníků'!A40="","",'Seznam účastníků'!A40)</f>
        <v/>
      </c>
      <c r="C30" s="94" t="str">
        <f aca="false">IF('Seznam účastníků'!B40="","",'Seznam účastníků'!B40)</f>
        <v/>
      </c>
      <c r="D30" s="95" t="str">
        <f aca="false">IF('Seznam účastníků'!C40="","",'Seznam účastníků'!C40)</f>
        <v/>
      </c>
      <c r="E30" s="96" t="str">
        <f aca="false">IF('Seznam účastníků'!D40="","",'Seznam účastníků'!D40)</f>
        <v/>
      </c>
      <c r="F30" s="94" t="str">
        <f aca="false">IF('Seznam účastníků'!E40="","",'Seznam účastníků'!E40)</f>
        <v/>
      </c>
      <c r="G30" s="97" t="n">
        <f aca="false">IF(ISNUMBER(D30),IF(DATE(YEAR($C$5)-26,MONTH($C$5),DAY($C$5))&lt;$D30,1,0),0)</f>
        <v>0</v>
      </c>
      <c r="H30" s="97" t="n">
        <f aca="false">IF(ISNUMBER(D30),IF(DATE(YEAR($C$5)-26,MONTH($C$5),DAY($C$5))&gt;=$D30,1,0),0)</f>
        <v>0</v>
      </c>
      <c r="I30" s="53" t="n">
        <f aca="false">IF(ISERR(FIND("praha",LOWER(F30))),0,1)*G30</f>
        <v>0</v>
      </c>
      <c r="J30" s="41" t="n">
        <f aca="false">IF(ISNUMBER(D30),IF(DATE(YEAR($C$5)-18,MONTH($C$5),DAY($C$5))&lt;$D30,1,0),0)</f>
        <v>0</v>
      </c>
      <c r="K30" s="53" t="n">
        <f aca="false">IF(ISERR(FIND("praha",LOWER(F30))),0,1)*J30</f>
        <v>0</v>
      </c>
    </row>
    <row r="31" customFormat="false" ht="13.5" hidden="false" customHeight="true" outlineLevel="0" collapsed="false">
      <c r="A31" s="93" t="s">
        <v>33</v>
      </c>
      <c r="B31" s="94" t="str">
        <f aca="false">IF('Seznam účastníků'!A41="","",'Seznam účastníků'!A41)</f>
        <v/>
      </c>
      <c r="C31" s="94" t="str">
        <f aca="false">IF('Seznam účastníků'!B41="","",'Seznam účastníků'!B41)</f>
        <v/>
      </c>
      <c r="D31" s="95" t="str">
        <f aca="false">IF('Seznam účastníků'!C41="","",'Seznam účastníků'!C41)</f>
        <v/>
      </c>
      <c r="E31" s="96" t="str">
        <f aca="false">IF('Seznam účastníků'!D41="","",'Seznam účastníků'!D41)</f>
        <v/>
      </c>
      <c r="F31" s="94" t="str">
        <f aca="false">IF('Seznam účastníků'!E41="","",'Seznam účastníků'!E41)</f>
        <v/>
      </c>
      <c r="G31" s="97" t="n">
        <f aca="false">IF(ISNUMBER(D31),IF(DATE(YEAR($C$5)-26,MONTH($C$5),DAY($C$5))&lt;$D31,1,0),0)</f>
        <v>0</v>
      </c>
      <c r="H31" s="97" t="n">
        <f aca="false">IF(ISNUMBER(D31),IF(DATE(YEAR($C$5)-26,MONTH($C$5),DAY($C$5))&gt;=$D31,1,0),0)</f>
        <v>0</v>
      </c>
      <c r="I31" s="53" t="n">
        <f aca="false">IF(ISERR(FIND("praha",LOWER(F31))),0,1)*G31</f>
        <v>0</v>
      </c>
      <c r="J31" s="41" t="n">
        <f aca="false">IF(ISNUMBER(D31),IF(DATE(YEAR($C$5)-18,MONTH($C$5),DAY($C$5))&lt;$D31,1,0),0)</f>
        <v>0</v>
      </c>
      <c r="K31" s="53" t="n">
        <f aca="false">IF(ISERR(FIND("praha",LOWER(F31))),0,1)*J31</f>
        <v>0</v>
      </c>
    </row>
    <row r="32" customFormat="false" ht="13.5" hidden="false" customHeight="true" outlineLevel="0" collapsed="false">
      <c r="A32" s="93" t="s">
        <v>34</v>
      </c>
      <c r="B32" s="94" t="str">
        <f aca="false">IF('Seznam účastníků'!A42="","",'Seznam účastníků'!A42)</f>
        <v/>
      </c>
      <c r="C32" s="94" t="str">
        <f aca="false">IF('Seznam účastníků'!B42="","",'Seznam účastníků'!B42)</f>
        <v/>
      </c>
      <c r="D32" s="95" t="str">
        <f aca="false">IF('Seznam účastníků'!C42="","",'Seznam účastníků'!C42)</f>
        <v/>
      </c>
      <c r="E32" s="96" t="str">
        <f aca="false">IF('Seznam účastníků'!D42="","",'Seznam účastníků'!D42)</f>
        <v/>
      </c>
      <c r="F32" s="94" t="str">
        <f aca="false">IF('Seznam účastníků'!E42="","",'Seznam účastníků'!E42)</f>
        <v/>
      </c>
      <c r="G32" s="97" t="n">
        <f aca="false">IF(ISNUMBER(D32),IF(DATE(YEAR($C$5)-26,MONTH($C$5),DAY($C$5))&lt;$D32,1,0),0)</f>
        <v>0</v>
      </c>
      <c r="H32" s="97" t="n">
        <f aca="false">IF(ISNUMBER(D32),IF(DATE(YEAR($C$5)-26,MONTH($C$5),DAY($C$5))&gt;=$D32,1,0),0)</f>
        <v>0</v>
      </c>
      <c r="I32" s="53" t="n">
        <f aca="false">IF(ISERR(FIND("praha",LOWER(F32))),0,1)*G32</f>
        <v>0</v>
      </c>
      <c r="J32" s="41" t="n">
        <f aca="false">IF(ISNUMBER(D32),IF(DATE(YEAR($C$5)-18,MONTH($C$5),DAY($C$5))&lt;$D32,1,0),0)</f>
        <v>0</v>
      </c>
      <c r="K32" s="53" t="n">
        <f aca="false">IF(ISERR(FIND("praha",LOWER(F32))),0,1)*J32</f>
        <v>0</v>
      </c>
    </row>
    <row r="33" customFormat="false" ht="13.5" hidden="false" customHeight="true" outlineLevel="0" collapsed="false">
      <c r="A33" s="93" t="s">
        <v>35</v>
      </c>
      <c r="B33" s="94" t="str">
        <f aca="false">IF('Seznam účastníků'!A43="","",'Seznam účastníků'!A43)</f>
        <v/>
      </c>
      <c r="C33" s="94" t="str">
        <f aca="false">IF('Seznam účastníků'!B43="","",'Seznam účastníků'!B43)</f>
        <v/>
      </c>
      <c r="D33" s="95" t="str">
        <f aca="false">IF('Seznam účastníků'!C43="","",'Seznam účastníků'!C43)</f>
        <v/>
      </c>
      <c r="E33" s="96" t="str">
        <f aca="false">IF('Seznam účastníků'!D43="","",'Seznam účastníků'!D43)</f>
        <v/>
      </c>
      <c r="F33" s="94" t="str">
        <f aca="false">IF('Seznam účastníků'!E43="","",'Seznam účastníků'!E43)</f>
        <v/>
      </c>
      <c r="G33" s="97" t="n">
        <f aca="false">IF(ISNUMBER(D33),IF(DATE(YEAR($C$5)-26,MONTH($C$5),DAY($C$5))&lt;$D33,1,0),0)</f>
        <v>0</v>
      </c>
      <c r="H33" s="97" t="n">
        <f aca="false">IF(ISNUMBER(D33),IF(DATE(YEAR($C$5)-26,MONTH($C$5),DAY($C$5))&gt;=$D33,1,0),0)</f>
        <v>0</v>
      </c>
      <c r="I33" s="53" t="n">
        <f aca="false">IF(ISERR(FIND("praha",LOWER(F33))),0,1)*G33</f>
        <v>0</v>
      </c>
      <c r="J33" s="41" t="n">
        <f aca="false">IF(ISNUMBER(D33),IF(DATE(YEAR($C$5)-18,MONTH($C$5),DAY($C$5))&lt;$D33,1,0),0)</f>
        <v>0</v>
      </c>
      <c r="K33" s="53" t="n">
        <f aca="false">IF(ISERR(FIND("praha",LOWER(F33))),0,1)*J33</f>
        <v>0</v>
      </c>
    </row>
    <row r="34" customFormat="false" ht="13.5" hidden="false" customHeight="true" outlineLevel="0" collapsed="false">
      <c r="A34" s="93" t="s">
        <v>36</v>
      </c>
      <c r="B34" s="94" t="str">
        <f aca="false">IF('Seznam účastníků'!A44="","",'Seznam účastníků'!A44)</f>
        <v/>
      </c>
      <c r="C34" s="94" t="str">
        <f aca="false">IF('Seznam účastníků'!B44="","",'Seznam účastníků'!B44)</f>
        <v/>
      </c>
      <c r="D34" s="95" t="str">
        <f aca="false">IF('Seznam účastníků'!C44="","",'Seznam účastníků'!C44)</f>
        <v/>
      </c>
      <c r="E34" s="96" t="str">
        <f aca="false">IF('Seznam účastníků'!D44="","",'Seznam účastníků'!D44)</f>
        <v/>
      </c>
      <c r="F34" s="94" t="str">
        <f aca="false">IF('Seznam účastníků'!E44="","",'Seznam účastníků'!E44)</f>
        <v/>
      </c>
      <c r="G34" s="97" t="n">
        <f aca="false">IF(ISNUMBER(D34),IF(DATE(YEAR($C$5)-26,MONTH($C$5),DAY($C$5))&lt;$D34,1,0),0)</f>
        <v>0</v>
      </c>
      <c r="H34" s="97" t="n">
        <f aca="false">IF(ISNUMBER(D34),IF(DATE(YEAR($C$5)-26,MONTH($C$5),DAY($C$5))&gt;=$D34,1,0),0)</f>
        <v>0</v>
      </c>
      <c r="I34" s="53" t="n">
        <f aca="false">IF(ISERR(FIND("praha",LOWER(F34))),0,1)*G34</f>
        <v>0</v>
      </c>
      <c r="J34" s="41" t="n">
        <f aca="false">IF(ISNUMBER(D34),IF(DATE(YEAR($C$5)-18,MONTH($C$5),DAY($C$5))&lt;$D34,1,0),0)</f>
        <v>0</v>
      </c>
      <c r="K34" s="53" t="n">
        <f aca="false">IF(ISERR(FIND("praha",LOWER(F34))),0,1)*J34</f>
        <v>0</v>
      </c>
    </row>
    <row r="35" customFormat="false" ht="13.5" hidden="false" customHeight="true" outlineLevel="0" collapsed="false">
      <c r="A35" s="93" t="s">
        <v>37</v>
      </c>
      <c r="B35" s="94" t="str">
        <f aca="false">IF('Seznam účastníků'!A45="","",'Seznam účastníků'!A45)</f>
        <v/>
      </c>
      <c r="C35" s="94" t="str">
        <f aca="false">IF('Seznam účastníků'!B45="","",'Seznam účastníků'!B45)</f>
        <v/>
      </c>
      <c r="D35" s="95" t="str">
        <f aca="false">IF('Seznam účastníků'!C45="","",'Seznam účastníků'!C45)</f>
        <v/>
      </c>
      <c r="E35" s="96" t="str">
        <f aca="false">IF('Seznam účastníků'!D45="","",'Seznam účastníků'!D45)</f>
        <v/>
      </c>
      <c r="F35" s="94" t="str">
        <f aca="false">IF('Seznam účastníků'!E45="","",'Seznam účastníků'!E45)</f>
        <v/>
      </c>
      <c r="G35" s="97" t="n">
        <f aca="false">IF(ISNUMBER(D35),IF(DATE(YEAR($C$5)-26,MONTH($C$5),DAY($C$5))&lt;$D35,1,0),0)</f>
        <v>0</v>
      </c>
      <c r="H35" s="97" t="n">
        <f aca="false">IF(ISNUMBER(D35),IF(DATE(YEAR($C$5)-26,MONTH($C$5),DAY($C$5))&gt;=$D35,1,0),0)</f>
        <v>0</v>
      </c>
      <c r="I35" s="53" t="n">
        <f aca="false">IF(ISERR(FIND("praha",LOWER(F35))),0,1)*G35</f>
        <v>0</v>
      </c>
      <c r="J35" s="41" t="n">
        <f aca="false">IF(ISNUMBER(D35),IF(DATE(YEAR($C$5)-18,MONTH($C$5),DAY($C$5))&lt;$D35,1,0),0)</f>
        <v>0</v>
      </c>
      <c r="K35" s="53" t="n">
        <f aca="false">IF(ISERR(FIND("praha",LOWER(F35))),0,1)*J35</f>
        <v>0</v>
      </c>
    </row>
    <row r="36" customFormat="false" ht="13.5" hidden="false" customHeight="true" outlineLevel="0" collapsed="false">
      <c r="A36" s="93" t="s">
        <v>75</v>
      </c>
      <c r="B36" s="94" t="str">
        <f aca="false">IF('Seznam účastníků'!A46="","",'Seznam účastníků'!A46)</f>
        <v/>
      </c>
      <c r="C36" s="94" t="str">
        <f aca="false">IF('Seznam účastníků'!B46="","",'Seznam účastníků'!B46)</f>
        <v/>
      </c>
      <c r="D36" s="95" t="str">
        <f aca="false">IF('Seznam účastníků'!C46="","",'Seznam účastníků'!C46)</f>
        <v/>
      </c>
      <c r="E36" s="96" t="str">
        <f aca="false">IF('Seznam účastníků'!D46="","",'Seznam účastníků'!D46)</f>
        <v/>
      </c>
      <c r="F36" s="94" t="str">
        <f aca="false">IF('Seznam účastníků'!E46="","",'Seznam účastníků'!E46)</f>
        <v/>
      </c>
      <c r="G36" s="97" t="n">
        <f aca="false">IF(ISNUMBER(D36),IF(DATE(YEAR($C$5)-26,MONTH($C$5),DAY($C$5))&lt;$D36,1,0),0)</f>
        <v>0</v>
      </c>
      <c r="H36" s="97" t="n">
        <f aca="false">IF(ISNUMBER(D36),IF(DATE(YEAR($C$5)-26,MONTH($C$5),DAY($C$5))&gt;=$D36,1,0),0)</f>
        <v>0</v>
      </c>
      <c r="I36" s="53" t="n">
        <f aca="false">IF(ISERR(FIND("praha",LOWER(F36))),0,1)*G36</f>
        <v>0</v>
      </c>
      <c r="J36" s="41" t="n">
        <f aca="false">IF(ISNUMBER(D36),IF(DATE(YEAR($C$5)-18,MONTH($C$5),DAY($C$5))&lt;$D36,1,0),0)</f>
        <v>0</v>
      </c>
      <c r="K36" s="53" t="n">
        <f aca="false">IF(ISERR(FIND("praha",LOWER(F36))),0,1)*J36</f>
        <v>0</v>
      </c>
    </row>
    <row r="37" customFormat="false" ht="13.5" hidden="false" customHeight="true" outlineLevel="0" collapsed="false">
      <c r="A37" s="93" t="s">
        <v>76</v>
      </c>
      <c r="B37" s="94" t="str">
        <f aca="false">IF('Seznam účastníků'!A47="","",'Seznam účastníků'!A47)</f>
        <v/>
      </c>
      <c r="C37" s="94" t="str">
        <f aca="false">IF('Seznam účastníků'!B47="","",'Seznam účastníků'!B47)</f>
        <v/>
      </c>
      <c r="D37" s="95" t="str">
        <f aca="false">IF('Seznam účastníků'!C47="","",'Seznam účastníků'!C47)</f>
        <v/>
      </c>
      <c r="E37" s="96" t="str">
        <f aca="false">IF('Seznam účastníků'!D47="","",'Seznam účastníků'!D47)</f>
        <v/>
      </c>
      <c r="F37" s="94" t="str">
        <f aca="false">IF('Seznam účastníků'!E47="","",'Seznam účastníků'!E47)</f>
        <v/>
      </c>
      <c r="G37" s="97" t="n">
        <f aca="false">IF(ISNUMBER(D37),IF(DATE(YEAR($C$5)-26,MONTH($C$5),DAY($C$5))&lt;$D37,1,0),0)</f>
        <v>0</v>
      </c>
      <c r="H37" s="97" t="n">
        <f aca="false">IF(ISNUMBER(D37),IF(DATE(YEAR($C$5)-26,MONTH($C$5),DAY($C$5))&gt;=$D37,1,0),0)</f>
        <v>0</v>
      </c>
      <c r="I37" s="53" t="n">
        <f aca="false">IF(ISERR(FIND("praha",LOWER(F37))),0,1)*G37</f>
        <v>0</v>
      </c>
      <c r="J37" s="41" t="n">
        <f aca="false">IF(ISNUMBER(D37),IF(DATE(YEAR($C$5)-18,MONTH($C$5),DAY($C$5))&lt;$D37,1,0),0)</f>
        <v>0</v>
      </c>
      <c r="K37" s="53" t="n">
        <f aca="false">IF(ISERR(FIND("praha",LOWER(F37))),0,1)*J37</f>
        <v>0</v>
      </c>
    </row>
    <row r="38" customFormat="false" ht="13.5" hidden="false" customHeight="true" outlineLevel="0" collapsed="false">
      <c r="A38" s="93" t="s">
        <v>77</v>
      </c>
      <c r="B38" s="94" t="str">
        <f aca="false">IF('Seznam účastníků'!A48="","",'Seznam účastníků'!A48)</f>
        <v/>
      </c>
      <c r="C38" s="94" t="str">
        <f aca="false">IF('Seznam účastníků'!B48="","",'Seznam účastníků'!B48)</f>
        <v/>
      </c>
      <c r="D38" s="95" t="str">
        <f aca="false">IF('Seznam účastníků'!C48="","",'Seznam účastníků'!C48)</f>
        <v/>
      </c>
      <c r="E38" s="96" t="str">
        <f aca="false">IF('Seznam účastníků'!D48="","",'Seznam účastníků'!D48)</f>
        <v/>
      </c>
      <c r="F38" s="94" t="str">
        <f aca="false">IF('Seznam účastníků'!E48="","",'Seznam účastníků'!E48)</f>
        <v/>
      </c>
      <c r="G38" s="97" t="n">
        <f aca="false">IF(ISNUMBER(D38),IF(DATE(YEAR($C$5)-26,MONTH($C$5),DAY($C$5))&lt;$D38,1,0),0)</f>
        <v>0</v>
      </c>
      <c r="H38" s="97" t="n">
        <f aca="false">IF(ISNUMBER(D38),IF(DATE(YEAR($C$5)-26,MONTH($C$5),DAY($C$5))&gt;=$D38,1,0),0)</f>
        <v>0</v>
      </c>
      <c r="I38" s="53" t="n">
        <f aca="false">IF(ISERR(FIND("praha",LOWER(F38))),0,1)*G38</f>
        <v>0</v>
      </c>
      <c r="J38" s="41" t="n">
        <f aca="false">IF(ISNUMBER(D38),IF(DATE(YEAR($C$5)-18,MONTH($C$5),DAY($C$5))&lt;$D38,1,0),0)</f>
        <v>0</v>
      </c>
      <c r="K38" s="53" t="n">
        <f aca="false">IF(ISERR(FIND("praha",LOWER(F38))),0,1)*J38</f>
        <v>0</v>
      </c>
    </row>
    <row r="39" customFormat="false" ht="13.5" hidden="false" customHeight="true" outlineLevel="0" collapsed="false">
      <c r="A39" s="93" t="s">
        <v>78</v>
      </c>
      <c r="B39" s="94" t="str">
        <f aca="false">IF('Seznam účastníků'!A49="","",'Seznam účastníků'!A49)</f>
        <v/>
      </c>
      <c r="C39" s="94" t="str">
        <f aca="false">IF('Seznam účastníků'!B49="","",'Seznam účastníků'!B49)</f>
        <v/>
      </c>
      <c r="D39" s="95" t="str">
        <f aca="false">IF('Seznam účastníků'!C49="","",'Seznam účastníků'!C49)</f>
        <v/>
      </c>
      <c r="E39" s="96" t="str">
        <f aca="false">IF('Seznam účastníků'!D49="","",'Seznam účastníků'!D49)</f>
        <v/>
      </c>
      <c r="F39" s="94" t="str">
        <f aca="false">IF('Seznam účastníků'!E49="","",'Seznam účastníků'!E49)</f>
        <v/>
      </c>
      <c r="G39" s="97" t="n">
        <f aca="false">IF(ISNUMBER(D39),IF(DATE(YEAR($C$5)-26,MONTH($C$5),DAY($C$5))&lt;$D39,1,0),0)</f>
        <v>0</v>
      </c>
      <c r="H39" s="97" t="n">
        <f aca="false">IF(ISNUMBER(D39),IF(DATE(YEAR($C$5)-26,MONTH($C$5),DAY($C$5))&gt;=$D39,1,0),0)</f>
        <v>0</v>
      </c>
      <c r="I39" s="53" t="n">
        <f aca="false">IF(ISERR(FIND("praha",LOWER(F39))),0,1)*G39</f>
        <v>0</v>
      </c>
      <c r="J39" s="41" t="n">
        <f aca="false">IF(ISNUMBER(D39),IF(DATE(YEAR($C$5)-18,MONTH($C$5),DAY($C$5))&lt;$D39,1,0),0)</f>
        <v>0</v>
      </c>
      <c r="K39" s="53" t="n">
        <f aca="false">IF(ISERR(FIND("praha",LOWER(F39))),0,1)*J39</f>
        <v>0</v>
      </c>
    </row>
    <row r="40" customFormat="false" ht="13.5" hidden="false" customHeight="true" outlineLevel="0" collapsed="false">
      <c r="A40" s="93" t="s">
        <v>79</v>
      </c>
      <c r="B40" s="94" t="str">
        <f aca="false">IF('Seznam účastníků'!A50="","",'Seznam účastníků'!A50)</f>
        <v/>
      </c>
      <c r="C40" s="94" t="str">
        <f aca="false">IF('Seznam účastníků'!B50="","",'Seznam účastníků'!B50)</f>
        <v/>
      </c>
      <c r="D40" s="95" t="str">
        <f aca="false">IF('Seznam účastníků'!C50="","",'Seznam účastníků'!C50)</f>
        <v/>
      </c>
      <c r="E40" s="96" t="str">
        <f aca="false">IF('Seznam účastníků'!D50="","",'Seznam účastníků'!D50)</f>
        <v/>
      </c>
      <c r="F40" s="94" t="str">
        <f aca="false">IF('Seznam účastníků'!E50="","",'Seznam účastníků'!E50)</f>
        <v/>
      </c>
      <c r="G40" s="97" t="n">
        <f aca="false">IF(ISNUMBER(D40),IF(DATE(YEAR($C$5)-26,MONTH($C$5),DAY($C$5))&lt;$D40,1,0),0)</f>
        <v>0</v>
      </c>
      <c r="H40" s="97" t="n">
        <f aca="false">IF(ISNUMBER(D40),IF(DATE(YEAR($C$5)-26,MONTH($C$5),DAY($C$5))&gt;=$D40,1,0),0)</f>
        <v>0</v>
      </c>
      <c r="I40" s="53" t="n">
        <f aca="false">IF(ISERR(FIND("praha",LOWER(F40))),0,1)*G40</f>
        <v>0</v>
      </c>
      <c r="J40" s="41" t="n">
        <f aca="false">IF(ISNUMBER(D40),IF(DATE(YEAR($C$5)-18,MONTH($C$5),DAY($C$5))&lt;$D40,1,0),0)</f>
        <v>0</v>
      </c>
      <c r="K40" s="53" t="n">
        <f aca="false">IF(ISERR(FIND("praha",LOWER(F40))),0,1)*J40</f>
        <v>0</v>
      </c>
    </row>
    <row r="41" customFormat="false" ht="13.5" hidden="false" customHeight="true" outlineLevel="0" collapsed="false">
      <c r="A41" s="93" t="s">
        <v>80</v>
      </c>
      <c r="B41" s="94" t="str">
        <f aca="false">IF('Seznam účastníků'!A51="","",'Seznam účastníků'!A51)</f>
        <v/>
      </c>
      <c r="C41" s="94" t="str">
        <f aca="false">IF('Seznam účastníků'!B51="","",'Seznam účastníků'!B51)</f>
        <v/>
      </c>
      <c r="D41" s="95" t="str">
        <f aca="false">IF('Seznam účastníků'!C51="","",'Seznam účastníků'!C51)</f>
        <v/>
      </c>
      <c r="E41" s="96" t="str">
        <f aca="false">IF('Seznam účastníků'!D51="","",'Seznam účastníků'!D51)</f>
        <v/>
      </c>
      <c r="F41" s="94" t="str">
        <f aca="false">IF('Seznam účastníků'!E51="","",'Seznam účastníků'!E51)</f>
        <v/>
      </c>
      <c r="G41" s="97" t="n">
        <f aca="false">IF(ISNUMBER(D41),IF(DATE(YEAR($C$5)-26,MONTH($C$5),DAY($C$5))&lt;$D41,1,0),0)</f>
        <v>0</v>
      </c>
      <c r="H41" s="97" t="n">
        <f aca="false">IF(ISNUMBER(D41),IF(DATE(YEAR($C$5)-26,MONTH($C$5),DAY($C$5))&gt;=$D41,1,0),0)</f>
        <v>0</v>
      </c>
      <c r="I41" s="53" t="n">
        <f aca="false">IF(ISERR(FIND("praha",LOWER(F41))),0,1)*G41</f>
        <v>0</v>
      </c>
      <c r="J41" s="41" t="n">
        <f aca="false">IF(ISNUMBER(D41),IF(DATE(YEAR($C$5)-18,MONTH($C$5),DAY($C$5))&lt;$D41,1,0),0)</f>
        <v>0</v>
      </c>
      <c r="K41" s="53" t="n">
        <f aca="false">IF(ISERR(FIND("praha",LOWER(F41))),0,1)*J41</f>
        <v>0</v>
      </c>
    </row>
    <row r="42" customFormat="false" ht="13.5" hidden="false" customHeight="true" outlineLevel="0" collapsed="false">
      <c r="A42" s="93" t="s">
        <v>81</v>
      </c>
      <c r="B42" s="94" t="str">
        <f aca="false">IF('Seznam účastníků'!A52="","",'Seznam účastníků'!A52)</f>
        <v/>
      </c>
      <c r="C42" s="94" t="str">
        <f aca="false">IF('Seznam účastníků'!B52="","",'Seznam účastníků'!B52)</f>
        <v/>
      </c>
      <c r="D42" s="95" t="str">
        <f aca="false">IF('Seznam účastníků'!C52="","",'Seznam účastníků'!C52)</f>
        <v/>
      </c>
      <c r="E42" s="96" t="str">
        <f aca="false">IF('Seznam účastníků'!D52="","",'Seznam účastníků'!D52)</f>
        <v/>
      </c>
      <c r="F42" s="94" t="str">
        <f aca="false">IF('Seznam účastníků'!E52="","",'Seznam účastníků'!E52)</f>
        <v/>
      </c>
      <c r="G42" s="97" t="n">
        <f aca="false">IF(ISNUMBER(D42),IF(DATE(YEAR($C$5)-26,MONTH($C$5),DAY($C$5))&lt;$D42,1,0),0)</f>
        <v>0</v>
      </c>
      <c r="H42" s="97" t="n">
        <f aca="false">IF(ISNUMBER(D42),IF(DATE(YEAR($C$5)-26,MONTH($C$5),DAY($C$5))&gt;=$D42,1,0),0)</f>
        <v>0</v>
      </c>
      <c r="I42" s="53" t="n">
        <f aca="false">IF(ISERR(FIND("praha",LOWER(F42))),0,1)*G42</f>
        <v>0</v>
      </c>
      <c r="J42" s="41" t="n">
        <f aca="false">IF(ISNUMBER(D42),IF(DATE(YEAR($C$5)-18,MONTH($C$5),DAY($C$5))&lt;$D42,1,0),0)</f>
        <v>0</v>
      </c>
      <c r="K42" s="53" t="n">
        <f aca="false">IF(ISERR(FIND("praha",LOWER(F42))),0,1)*J42</f>
        <v>0</v>
      </c>
    </row>
    <row r="43" customFormat="false" ht="13.5" hidden="false" customHeight="true" outlineLevel="0" collapsed="false">
      <c r="A43" s="93" t="s">
        <v>82</v>
      </c>
      <c r="B43" s="94" t="str">
        <f aca="false">IF('Seznam účastníků'!A53="","",'Seznam účastníků'!A53)</f>
        <v/>
      </c>
      <c r="C43" s="94" t="str">
        <f aca="false">IF('Seznam účastníků'!B53="","",'Seznam účastníků'!B53)</f>
        <v/>
      </c>
      <c r="D43" s="95" t="str">
        <f aca="false">IF('Seznam účastníků'!C53="","",'Seznam účastníků'!C53)</f>
        <v/>
      </c>
      <c r="E43" s="96" t="str">
        <f aca="false">IF('Seznam účastníků'!D53="","",'Seznam účastníků'!D53)</f>
        <v/>
      </c>
      <c r="F43" s="94" t="str">
        <f aca="false">IF('Seznam účastníků'!E53="","",'Seznam účastníků'!E53)</f>
        <v/>
      </c>
      <c r="G43" s="97" t="n">
        <f aca="false">IF(ISNUMBER(D43),IF(DATE(YEAR($C$5)-26,MONTH($C$5),DAY($C$5))&lt;$D43,1,0),0)</f>
        <v>0</v>
      </c>
      <c r="H43" s="97" t="n">
        <f aca="false">IF(ISNUMBER(D43),IF(DATE(YEAR($C$5)-26,MONTH($C$5),DAY($C$5))&gt;=$D43,1,0),0)</f>
        <v>0</v>
      </c>
      <c r="I43" s="53" t="n">
        <f aca="false">IF(ISERR(FIND("praha",LOWER(F43))),0,1)*G43</f>
        <v>0</v>
      </c>
      <c r="J43" s="41" t="n">
        <f aca="false">IF(ISNUMBER(D43),IF(DATE(YEAR($C$5)-18,MONTH($C$5),DAY($C$5))&lt;$D43,1,0),0)</f>
        <v>0</v>
      </c>
      <c r="K43" s="53" t="n">
        <f aca="false">IF(ISERR(FIND("praha",LOWER(F43))),0,1)*J43</f>
        <v>0</v>
      </c>
    </row>
    <row r="44" customFormat="false" ht="12.75" hidden="false" customHeight="false" outlineLevel="0" collapsed="false">
      <c r="E44" s="98"/>
      <c r="K44" s="39" t="s">
        <v>83</v>
      </c>
    </row>
    <row r="45" customFormat="false" ht="15" hidden="false" customHeight="false" outlineLevel="0" collapsed="false">
      <c r="A45" s="93" t="s">
        <v>84</v>
      </c>
      <c r="B45" s="93"/>
      <c r="C45" s="53"/>
      <c r="D45" s="93" t="n">
        <f aca="false">IF(C2="","0",SUM(G9:G43))</f>
        <v>0</v>
      </c>
      <c r="E45" s="99" t="str">
        <f aca="false">IF(D45&lt;8,"Tato Akce nevyhovuje z důvodu 'Menší počet účastníků než 8'","")</f>
        <v>Tato Akce nevyhovuje z důvodu 'Menší počet účastníků než 8'</v>
      </c>
      <c r="G45" s="39" t="n">
        <f aca="false">SUM(G9:G43)</f>
        <v>0</v>
      </c>
      <c r="H45" s="39" t="n">
        <f aca="false">SUM(H9:H43)</f>
        <v>0</v>
      </c>
      <c r="I45" s="39" t="n">
        <f aca="false">SUM(I9:I43)</f>
        <v>0</v>
      </c>
      <c r="J45" s="39" t="n">
        <f aca="false">SUM(J9:J43)</f>
        <v>0</v>
      </c>
      <c r="K45" s="39" t="n">
        <f aca="false">SUM(K9:K43)</f>
        <v>0</v>
      </c>
    </row>
    <row r="46" customFormat="false" ht="15" hidden="false" customHeight="false" outlineLevel="0" collapsed="false">
      <c r="A46" s="100" t="s">
        <v>85</v>
      </c>
      <c r="B46" s="100"/>
      <c r="C46" s="100"/>
      <c r="D46" s="100" t="n">
        <f aca="false">IF(C2="","0",SUM(H9:H43))</f>
        <v>0</v>
      </c>
    </row>
    <row r="47" customFormat="false" ht="15" hidden="false" customHeight="false" outlineLevel="0" collapsed="false">
      <c r="A47" s="36" t="s">
        <v>86</v>
      </c>
      <c r="B47" s="36"/>
      <c r="C47" s="36"/>
      <c r="D47" s="36" t="n">
        <f aca="false">IF(C2="","0",+D46+D45)</f>
        <v>0</v>
      </c>
    </row>
    <row r="48" customFormat="false" ht="15" hidden="false" customHeight="false" outlineLevel="0" collapsed="false">
      <c r="A48" s="99" t="s">
        <v>87</v>
      </c>
      <c r="B48" s="99"/>
      <c r="C48" s="99"/>
      <c r="D48" s="99" t="n">
        <f aca="false">IF(C2="","0",SUM(I9:I43))</f>
        <v>0</v>
      </c>
    </row>
    <row r="50" customFormat="false" ht="15" hidden="false" customHeight="false" outlineLevel="0" collapsed="false">
      <c r="A50" s="37" t="str">
        <f aca="true">IF($C$9&lt;&gt;"","Datum: "&amp;IF(ISNUMBER(VALUE(TEXT(TODAY(),"rrrr"))),TEXT(TODAY(),"dd.mm.rrrr"),TEXT(TODAY(),"dd.mm.yyyy")),"Datum: ........................................")</f>
        <v>Datum: ........................................</v>
      </c>
      <c r="D50" s="101" t="s">
        <v>88</v>
      </c>
      <c r="E50" s="53"/>
    </row>
    <row r="51" customFormat="false" ht="15" hidden="false" customHeight="false" outlineLevel="0" collapsed="false">
      <c r="B51" s="53"/>
      <c r="C51" s="53"/>
      <c r="D51" s="53"/>
      <c r="E51" s="93" t="s">
        <v>89</v>
      </c>
    </row>
    <row r="52" customFormat="false" ht="12.75" hidden="false" customHeight="false" outlineLevel="0" collapsed="false">
      <c r="F52" s="35" t="str">
        <f aca="false">"© 31/7/2008 Hop"</f>
        <v>© 31/7/2008 Hop</v>
      </c>
    </row>
    <row r="53" customFormat="false" ht="15.75" hidden="false" customHeight="false" outlineLevel="0" collapsed="false">
      <c r="A53" s="93"/>
      <c r="B53" s="93"/>
      <c r="C53" s="93"/>
    </row>
    <row r="54" customFormat="false" ht="15.75" hidden="false" customHeight="false" outlineLevel="0" collapsed="false">
      <c r="A54" s="53"/>
      <c r="B54" s="53"/>
      <c r="C54" s="53"/>
      <c r="D54" s="53"/>
      <c r="E54" s="53"/>
    </row>
    <row r="55" customFormat="false" ht="15.75" hidden="false" customHeight="false" outlineLevel="0" collapsed="false">
      <c r="A55" s="53"/>
      <c r="B55" s="53"/>
      <c r="C55" s="53"/>
      <c r="D55" s="53"/>
      <c r="E55" s="53"/>
      <c r="F55" s="55"/>
    </row>
    <row r="56" customFormat="false" ht="15.75" hidden="false" customHeight="false" outlineLevel="0" collapsed="false">
      <c r="A56" s="53"/>
      <c r="B56" s="53"/>
      <c r="C56" s="53"/>
      <c r="D56" s="53"/>
      <c r="E56" s="53"/>
    </row>
    <row r="57" customFormat="false" ht="15.75" hidden="false" customHeight="false" outlineLevel="0" collapsed="false">
      <c r="A57" s="53"/>
      <c r="B57" s="53"/>
      <c r="C57" s="53"/>
      <c r="D57" s="53"/>
      <c r="E57" s="53"/>
    </row>
    <row r="58" customFormat="false" ht="15.75" hidden="false" customHeight="false" outlineLevel="0" collapsed="false">
      <c r="A58" s="53"/>
      <c r="B58" s="53"/>
      <c r="C58" s="53"/>
      <c r="D58" s="53"/>
      <c r="E58" s="53"/>
    </row>
  </sheetData>
  <sheetProtection sheet="true"/>
  <mergeCells count="1">
    <mergeCell ref="A1:F1"/>
  </mergeCells>
  <printOptions headings="false" gridLines="false" gridLinesSet="true" horizontalCentered="true" verticalCentered="false"/>
  <pageMargins left="0.747916666666667" right="0.747916666666667" top="0.479861111111111" bottom="0.409722222222222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9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6" activeCellId="0" sqref="C6"/>
    </sheetView>
  </sheetViews>
  <sheetFormatPr defaultColWidth="8.6796875" defaultRowHeight="12.75" zeroHeight="false" outlineLevelRow="0" outlineLevelCol="0"/>
  <cols>
    <col collapsed="false" customWidth="true" hidden="false" outlineLevel="0" max="1" min="1" style="39" width="4.14"/>
    <col collapsed="false" customWidth="true" hidden="false" outlineLevel="0" max="2" min="2" style="39" width="14.14"/>
    <col collapsed="false" customWidth="true" hidden="false" outlineLevel="0" max="3" min="3" style="39" width="14.57"/>
    <col collapsed="false" customWidth="true" hidden="false" outlineLevel="0" max="4" min="4" style="39" width="13.71"/>
    <col collapsed="false" customWidth="true" hidden="false" outlineLevel="0" max="5" min="5" style="39" width="25.85"/>
    <col collapsed="false" customWidth="true" hidden="false" outlineLevel="0" max="6" min="6" style="39" width="5.71"/>
    <col collapsed="false" customWidth="true" hidden="false" outlineLevel="0" max="7" min="7" style="39" width="9"/>
    <col collapsed="false" customWidth="true" hidden="true" outlineLevel="0" max="10" min="8" style="39" width="11.53"/>
    <col collapsed="false" customWidth="true" hidden="false" outlineLevel="0" max="255" min="11" style="39" width="9"/>
  </cols>
  <sheetData>
    <row r="1" s="84" customFormat="true" ht="22.05" hidden="false" customHeight="false" outlineLevel="0" collapsed="false">
      <c r="A1" s="83" t="s">
        <v>57</v>
      </c>
      <c r="B1" s="83"/>
      <c r="C1" s="83"/>
      <c r="D1" s="83"/>
      <c r="E1" s="83"/>
      <c r="F1" s="83"/>
    </row>
    <row r="2" s="84" customFormat="true" ht="18" hidden="false" customHeight="true" outlineLevel="0" collapsed="false">
      <c r="A2" s="85" t="s">
        <v>58</v>
      </c>
      <c r="B2" s="85"/>
      <c r="C2" s="102"/>
    </row>
    <row r="3" s="84" customFormat="true" ht="18" hidden="false" customHeight="true" outlineLevel="0" collapsed="false">
      <c r="A3" s="85" t="s">
        <v>59</v>
      </c>
      <c r="B3" s="85"/>
      <c r="C3" s="102"/>
    </row>
    <row r="4" s="84" customFormat="true" ht="18.75" hidden="false" customHeight="true" outlineLevel="0" collapsed="false">
      <c r="A4" s="85" t="s">
        <v>61</v>
      </c>
      <c r="B4" s="85"/>
      <c r="C4" s="102"/>
    </row>
    <row r="5" customFormat="false" ht="15" hidden="false" customHeight="false" outlineLevel="0" collapsed="false">
      <c r="A5" s="87" t="s">
        <v>62</v>
      </c>
      <c r="B5" s="53"/>
      <c r="C5" s="103"/>
      <c r="D5" s="103"/>
    </row>
    <row r="6" customFormat="false" ht="15" hidden="false" customHeight="false" outlineLevel="0" collapsed="false">
      <c r="A6" s="87" t="s">
        <v>63</v>
      </c>
      <c r="B6" s="53"/>
      <c r="C6" s="103"/>
    </row>
    <row r="7" customFormat="false" ht="12.75" hidden="false" customHeight="false" outlineLevel="0" collapsed="false">
      <c r="A7" s="89"/>
      <c r="B7" s="89"/>
      <c r="C7" s="89"/>
      <c r="D7" s="89"/>
      <c r="E7" s="89"/>
      <c r="F7" s="89"/>
      <c r="G7" s="89"/>
      <c r="H7" s="89"/>
    </row>
    <row r="8" customFormat="false" ht="13.5" hidden="false" customHeight="true" outlineLevel="0" collapsed="false">
      <c r="A8" s="90" t="s">
        <v>64</v>
      </c>
      <c r="B8" s="90" t="s">
        <v>65</v>
      </c>
      <c r="C8" s="90" t="s">
        <v>66</v>
      </c>
      <c r="D8" s="91" t="s">
        <v>67</v>
      </c>
      <c r="E8" s="90" t="s">
        <v>68</v>
      </c>
      <c r="F8" s="90" t="s">
        <v>69</v>
      </c>
      <c r="G8" s="91"/>
      <c r="H8" s="39" t="s">
        <v>90</v>
      </c>
      <c r="I8" s="39" t="s">
        <v>91</v>
      </c>
      <c r="J8" s="39" t="s">
        <v>92</v>
      </c>
    </row>
    <row r="9" customFormat="false" ht="13.5" hidden="false" customHeight="true" outlineLevel="0" collapsed="false">
      <c r="A9" s="93" t="s">
        <v>10</v>
      </c>
      <c r="B9" s="104"/>
      <c r="C9" s="104"/>
      <c r="D9" s="105"/>
      <c r="E9" s="104"/>
      <c r="F9" s="106"/>
      <c r="H9" s="107" t="n">
        <f aca="false">IF(DATE(YEAR($C$5)-26,MONTH($C$5),DAY($C$5))&lt;$D9,1,0)</f>
        <v>1</v>
      </c>
      <c r="I9" s="107" t="n">
        <f aca="false">IF(D9&lt;&gt;0,IF(DATE(YEAR($C$5)-26,MONTH($C$5),DAY($C$5))&gt;=$D9,1,0),0)</f>
        <v>0</v>
      </c>
      <c r="J9" s="39" t="n">
        <f aca="false">IF(ISERR(FIND("praha",LOWER(F9))),0,1)*H9</f>
        <v>0</v>
      </c>
    </row>
    <row r="10" customFormat="false" ht="13.5" hidden="false" customHeight="true" outlineLevel="0" collapsed="false">
      <c r="A10" s="93" t="s">
        <v>12</v>
      </c>
      <c r="B10" s="104"/>
      <c r="C10" s="104"/>
      <c r="D10" s="105"/>
      <c r="E10" s="104"/>
      <c r="F10" s="106"/>
      <c r="H10" s="107" t="n">
        <f aca="false">IF(DATE(YEAR($C$5)-26,MONTH($C$5),DAY($C$5))&lt;$D10,1,0)</f>
        <v>1</v>
      </c>
      <c r="I10" s="107" t="n">
        <f aca="false">IF(D10&lt;&gt;0,IF(DATE(YEAR($C$5)-26,MONTH($C$5),DAY($C$5))&gt;=$D10,1,0),0)</f>
        <v>0</v>
      </c>
      <c r="J10" s="39" t="n">
        <f aca="false">IF(ISERR(FIND("praha",LOWER(F10))),0,1)*H10</f>
        <v>0</v>
      </c>
    </row>
    <row r="11" customFormat="false" ht="13.5" hidden="false" customHeight="true" outlineLevel="0" collapsed="false">
      <c r="A11" s="93" t="s">
        <v>13</v>
      </c>
      <c r="B11" s="104"/>
      <c r="C11" s="104"/>
      <c r="D11" s="105"/>
      <c r="E11" s="104"/>
      <c r="F11" s="106"/>
      <c r="H11" s="107" t="n">
        <f aca="false">IF(DATE(YEAR($C$5)-26,MONTH($C$5),DAY($C$5))&lt;$D11,1,0)</f>
        <v>1</v>
      </c>
      <c r="I11" s="107" t="n">
        <f aca="false">IF(D11&lt;&gt;0,IF(DATE(YEAR($C$5)-26,MONTH($C$5),DAY($C$5))&gt;=$D11,1,0),0)</f>
        <v>0</v>
      </c>
      <c r="J11" s="39" t="n">
        <f aca="false">IF(ISERR(FIND("praha",LOWER(F11))),0,1)*H11</f>
        <v>0</v>
      </c>
    </row>
    <row r="12" customFormat="false" ht="13.5" hidden="false" customHeight="true" outlineLevel="0" collapsed="false">
      <c r="A12" s="93" t="s">
        <v>14</v>
      </c>
      <c r="B12" s="104"/>
      <c r="C12" s="104"/>
      <c r="D12" s="105"/>
      <c r="E12" s="104"/>
      <c r="F12" s="106"/>
      <c r="H12" s="107" t="n">
        <f aca="false">IF(DATE(YEAR($C$5)-26,MONTH($C$5),DAY($C$5))&lt;$D12,1,0)</f>
        <v>1</v>
      </c>
      <c r="I12" s="107" t="n">
        <f aca="false">IF(D12&lt;&gt;0,IF(DATE(YEAR($C$5)-26,MONTH($C$5),DAY($C$5))&gt;=$D12,1,0),0)</f>
        <v>0</v>
      </c>
      <c r="J12" s="39" t="n">
        <f aca="false">IF(ISERR(FIND("praha",LOWER(F12))),0,1)*H12</f>
        <v>0</v>
      </c>
    </row>
    <row r="13" customFormat="false" ht="13.5" hidden="false" customHeight="true" outlineLevel="0" collapsed="false">
      <c r="A13" s="93" t="s">
        <v>15</v>
      </c>
      <c r="B13" s="104"/>
      <c r="C13" s="104"/>
      <c r="D13" s="105"/>
      <c r="E13" s="104"/>
      <c r="F13" s="106"/>
      <c r="H13" s="107" t="n">
        <f aca="false">IF(DATE(YEAR($C$5)-26,MONTH($C$5),DAY($C$5))&lt;$D13,1,0)</f>
        <v>1</v>
      </c>
      <c r="I13" s="107" t="n">
        <f aca="false">IF(D13&lt;&gt;0,IF(DATE(YEAR($C$5)-26,MONTH($C$5),DAY($C$5))&gt;=$D13,1,0),0)</f>
        <v>0</v>
      </c>
      <c r="J13" s="39" t="n">
        <f aca="false">IF(ISERR(FIND("praha",LOWER(F13))),0,1)*H13</f>
        <v>0</v>
      </c>
    </row>
    <row r="14" customFormat="false" ht="13.5" hidden="false" customHeight="true" outlineLevel="0" collapsed="false">
      <c r="A14" s="93" t="s">
        <v>16</v>
      </c>
      <c r="B14" s="104"/>
      <c r="C14" s="104"/>
      <c r="D14" s="105"/>
      <c r="E14" s="104"/>
      <c r="F14" s="106"/>
      <c r="H14" s="107" t="n">
        <f aca="false">IF(DATE(YEAR($C$5)-26,MONTH($C$5),DAY($C$5))&lt;$D14,1,0)</f>
        <v>1</v>
      </c>
      <c r="I14" s="107" t="n">
        <f aca="false">IF(D14&lt;&gt;0,IF(DATE(YEAR($C$5)-26,MONTH($C$5),DAY($C$5))&gt;=$D14,1,0),0)</f>
        <v>0</v>
      </c>
      <c r="J14" s="39" t="n">
        <f aca="false">IF(ISERR(FIND("praha",LOWER(F14))),0,1)*H14</f>
        <v>0</v>
      </c>
    </row>
    <row r="15" customFormat="false" ht="13.5" hidden="false" customHeight="true" outlineLevel="0" collapsed="false">
      <c r="A15" s="93" t="s">
        <v>17</v>
      </c>
      <c r="B15" s="104"/>
      <c r="C15" s="104"/>
      <c r="D15" s="105"/>
      <c r="E15" s="104"/>
      <c r="F15" s="106"/>
      <c r="H15" s="107" t="n">
        <f aca="false">IF(DATE(YEAR($C$5)-26,MONTH($C$5),DAY($C$5))&lt;$D15,1,0)</f>
        <v>1</v>
      </c>
      <c r="I15" s="107" t="n">
        <f aca="false">IF(D15&lt;&gt;0,IF(DATE(YEAR($C$5)-26,MONTH($C$5),DAY($C$5))&gt;=$D15,1,0),0)</f>
        <v>0</v>
      </c>
      <c r="J15" s="39" t="n">
        <f aca="false">IF(ISERR(FIND("praha",LOWER(F15))),0,1)*H15</f>
        <v>0</v>
      </c>
    </row>
    <row r="16" customFormat="false" ht="13.5" hidden="false" customHeight="true" outlineLevel="0" collapsed="false">
      <c r="A16" s="93" t="s">
        <v>18</v>
      </c>
      <c r="B16" s="104"/>
      <c r="C16" s="104"/>
      <c r="D16" s="105"/>
      <c r="E16" s="104"/>
      <c r="F16" s="106"/>
      <c r="H16" s="107" t="n">
        <f aca="false">IF(DATE(YEAR($C$5)-26,MONTH($C$5),DAY($C$5))&lt;$D16,1,0)</f>
        <v>1</v>
      </c>
      <c r="I16" s="107" t="n">
        <f aca="false">IF(D16&lt;&gt;0,IF(DATE(YEAR($C$5)-26,MONTH($C$5),DAY($C$5))&gt;=$D16,1,0),0)</f>
        <v>0</v>
      </c>
      <c r="J16" s="39" t="n">
        <f aca="false">IF(ISERR(FIND("praha",LOWER(F16))),0,1)*H16</f>
        <v>0</v>
      </c>
    </row>
    <row r="17" customFormat="false" ht="13.5" hidden="false" customHeight="true" outlineLevel="0" collapsed="false">
      <c r="A17" s="93" t="s">
        <v>19</v>
      </c>
      <c r="B17" s="104"/>
      <c r="C17" s="104"/>
      <c r="D17" s="105"/>
      <c r="E17" s="104"/>
      <c r="F17" s="106"/>
      <c r="H17" s="107" t="n">
        <f aca="false">IF(DATE(YEAR($C$5)-26,MONTH($C$5),DAY($C$5))&lt;$D17,1,0)</f>
        <v>1</v>
      </c>
      <c r="I17" s="107" t="n">
        <f aca="false">IF(D17&lt;&gt;0,IF(DATE(YEAR($C$5)-26,MONTH($C$5),DAY($C$5))&gt;=$D17,1,0),0)</f>
        <v>0</v>
      </c>
      <c r="J17" s="39" t="n">
        <f aca="false">IF(ISERR(FIND("praha",LOWER(F17))),0,1)*H17</f>
        <v>0</v>
      </c>
    </row>
    <row r="18" customFormat="false" ht="13.5" hidden="false" customHeight="true" outlineLevel="0" collapsed="false">
      <c r="A18" s="93" t="s">
        <v>20</v>
      </c>
      <c r="B18" s="104"/>
      <c r="C18" s="104"/>
      <c r="D18" s="105"/>
      <c r="E18" s="104"/>
      <c r="F18" s="106"/>
      <c r="H18" s="107" t="n">
        <f aca="false">IF(DATE(YEAR($C$5)-26,MONTH($C$5),DAY($C$5))&lt;$D18,1,0)</f>
        <v>1</v>
      </c>
      <c r="I18" s="107" t="n">
        <f aca="false">IF(D18&lt;&gt;0,IF(DATE(YEAR($C$5)-26,MONTH($C$5),DAY($C$5))&gt;=$D18,1,0),0)</f>
        <v>0</v>
      </c>
      <c r="J18" s="39" t="n">
        <f aca="false">IF(ISERR(FIND("praha",LOWER(F18))),0,1)*H18</f>
        <v>0</v>
      </c>
    </row>
    <row r="19" customFormat="false" ht="13.5" hidden="false" customHeight="true" outlineLevel="0" collapsed="false">
      <c r="A19" s="93" t="s">
        <v>21</v>
      </c>
      <c r="B19" s="104"/>
      <c r="C19" s="104"/>
      <c r="D19" s="105"/>
      <c r="E19" s="104"/>
      <c r="F19" s="106"/>
      <c r="H19" s="107" t="n">
        <f aca="false">IF(DATE(YEAR($C$5)-26,MONTH($C$5),DAY($C$5))&lt;$D19,1,0)</f>
        <v>1</v>
      </c>
      <c r="I19" s="107" t="n">
        <f aca="false">IF(D19&lt;&gt;0,IF(DATE(YEAR($C$5)-26,MONTH($C$5),DAY($C$5))&gt;=$D19,1,0),0)</f>
        <v>0</v>
      </c>
      <c r="J19" s="39" t="n">
        <f aca="false">IF(ISERR(FIND("praha",LOWER(F19))),0,1)*H19</f>
        <v>0</v>
      </c>
    </row>
    <row r="20" customFormat="false" ht="13.5" hidden="false" customHeight="true" outlineLevel="0" collapsed="false">
      <c r="A20" s="93" t="s">
        <v>22</v>
      </c>
      <c r="B20" s="104"/>
      <c r="C20" s="104"/>
      <c r="D20" s="105"/>
      <c r="E20" s="104"/>
      <c r="F20" s="106"/>
      <c r="H20" s="107" t="n">
        <f aca="false">IF(DATE(YEAR($C$5)-26,MONTH($C$5),DAY($C$5))&lt;$D20,1,0)</f>
        <v>1</v>
      </c>
      <c r="I20" s="107" t="n">
        <f aca="false">IF(D20&lt;&gt;0,IF(DATE(YEAR($C$5)-26,MONTH($C$5),DAY($C$5))&gt;=$D20,1,0),0)</f>
        <v>0</v>
      </c>
      <c r="J20" s="39" t="n">
        <f aca="false">IF(ISERR(FIND("praha",LOWER(F20))),0,1)*H20</f>
        <v>0</v>
      </c>
    </row>
    <row r="21" customFormat="false" ht="13.5" hidden="false" customHeight="true" outlineLevel="0" collapsed="false">
      <c r="A21" s="93" t="s">
        <v>23</v>
      </c>
      <c r="B21" s="104"/>
      <c r="C21" s="104"/>
      <c r="D21" s="105"/>
      <c r="E21" s="104"/>
      <c r="F21" s="106"/>
      <c r="H21" s="107" t="n">
        <f aca="false">IF(DATE(YEAR($C$5)-26,MONTH($C$5),DAY($C$5))&lt;$D21,1,0)</f>
        <v>1</v>
      </c>
      <c r="I21" s="107" t="n">
        <f aca="false">IF(D21&lt;&gt;0,IF(DATE(YEAR($C$5)-26,MONTH($C$5),DAY($C$5))&gt;=$D21,1,0),0)</f>
        <v>0</v>
      </c>
      <c r="J21" s="39" t="n">
        <f aca="false">IF(ISERR(FIND("praha",LOWER(F21))),0,1)*H21</f>
        <v>0</v>
      </c>
    </row>
    <row r="22" customFormat="false" ht="13.5" hidden="false" customHeight="true" outlineLevel="0" collapsed="false">
      <c r="A22" s="93" t="s">
        <v>24</v>
      </c>
      <c r="B22" s="104"/>
      <c r="C22" s="104"/>
      <c r="D22" s="105"/>
      <c r="E22" s="104"/>
      <c r="F22" s="106"/>
      <c r="H22" s="107" t="n">
        <f aca="false">IF(DATE(YEAR($C$5)-26,MONTH($C$5),DAY($C$5))&lt;$D22,1,0)</f>
        <v>1</v>
      </c>
      <c r="I22" s="107" t="n">
        <f aca="false">IF(D22&lt;&gt;0,IF(DATE(YEAR($C$5)-26,MONTH($C$5),DAY($C$5))&gt;=$D22,1,0),0)</f>
        <v>0</v>
      </c>
      <c r="J22" s="39" t="n">
        <f aca="false">IF(ISERR(FIND("praha",LOWER(F22))),0,1)*H22</f>
        <v>0</v>
      </c>
    </row>
    <row r="23" customFormat="false" ht="13.5" hidden="false" customHeight="true" outlineLevel="0" collapsed="false">
      <c r="A23" s="93" t="s">
        <v>25</v>
      </c>
      <c r="B23" s="104"/>
      <c r="C23" s="104"/>
      <c r="D23" s="105"/>
      <c r="E23" s="104"/>
      <c r="F23" s="106"/>
      <c r="H23" s="107" t="n">
        <f aca="false">IF(DATE(YEAR($C$5)-26,MONTH($C$5),DAY($C$5))&lt;$D23,1,0)</f>
        <v>1</v>
      </c>
      <c r="I23" s="107" t="n">
        <f aca="false">IF(D23&lt;&gt;0,IF(DATE(YEAR($C$5)-26,MONTH($C$5),DAY($C$5))&gt;=$D23,1,0),0)</f>
        <v>0</v>
      </c>
      <c r="J23" s="39" t="n">
        <f aca="false">IF(ISERR(FIND("praha",LOWER(F23))),0,1)*H23</f>
        <v>0</v>
      </c>
    </row>
    <row r="24" customFormat="false" ht="13.5" hidden="false" customHeight="true" outlineLevel="0" collapsed="false">
      <c r="A24" s="93" t="s">
        <v>26</v>
      </c>
      <c r="B24" s="104"/>
      <c r="C24" s="104"/>
      <c r="D24" s="105"/>
      <c r="E24" s="104"/>
      <c r="F24" s="106"/>
      <c r="H24" s="107" t="n">
        <f aca="false">IF(DATE(YEAR($C$5)-26,MONTH($C$5),DAY($C$5))&lt;$D24,1,0)</f>
        <v>1</v>
      </c>
      <c r="I24" s="107" t="n">
        <f aca="false">IF(D24&lt;&gt;0,IF(DATE(YEAR($C$5)-26,MONTH($C$5),DAY($C$5))&gt;=$D24,1,0),0)</f>
        <v>0</v>
      </c>
      <c r="J24" s="39" t="n">
        <f aca="false">IF(ISERR(FIND("praha",LOWER(F24))),0,1)*H24</f>
        <v>0</v>
      </c>
    </row>
    <row r="25" customFormat="false" ht="13.5" hidden="false" customHeight="true" outlineLevel="0" collapsed="false">
      <c r="A25" s="93" t="s">
        <v>27</v>
      </c>
      <c r="B25" s="104"/>
      <c r="C25" s="104"/>
      <c r="D25" s="105"/>
      <c r="E25" s="104"/>
      <c r="F25" s="106"/>
      <c r="H25" s="107" t="n">
        <f aca="false">IF(DATE(YEAR($C$5)-26,MONTH($C$5),DAY($C$5))&lt;$D25,1,0)</f>
        <v>1</v>
      </c>
      <c r="I25" s="107" t="n">
        <f aca="false">IF(D25&lt;&gt;0,IF(DATE(YEAR($C$5)-26,MONTH($C$5),DAY($C$5))&gt;=$D25,1,0),0)</f>
        <v>0</v>
      </c>
      <c r="J25" s="39" t="n">
        <f aca="false">IF(ISERR(FIND("praha",LOWER(F25))),0,1)*H25</f>
        <v>0</v>
      </c>
    </row>
    <row r="26" customFormat="false" ht="13.5" hidden="false" customHeight="true" outlineLevel="0" collapsed="false">
      <c r="A26" s="93" t="s">
        <v>28</v>
      </c>
      <c r="B26" s="104"/>
      <c r="C26" s="104"/>
      <c r="D26" s="105"/>
      <c r="E26" s="104"/>
      <c r="F26" s="106"/>
      <c r="H26" s="107" t="n">
        <f aca="false">IF(DATE(YEAR($C$5)-26,MONTH($C$5),DAY($C$5))&lt;$D26,1,0)</f>
        <v>1</v>
      </c>
      <c r="I26" s="107" t="n">
        <f aca="false">IF(D26&lt;&gt;0,IF(DATE(YEAR($C$5)-26,MONTH($C$5),DAY($C$5))&gt;=$D26,1,0),0)</f>
        <v>0</v>
      </c>
      <c r="J26" s="39" t="n">
        <f aca="false">IF(ISERR(FIND("praha",LOWER(F26))),0,1)*H26</f>
        <v>0</v>
      </c>
    </row>
    <row r="27" customFormat="false" ht="13.5" hidden="false" customHeight="true" outlineLevel="0" collapsed="false">
      <c r="A27" s="93" t="s">
        <v>29</v>
      </c>
      <c r="B27" s="104"/>
      <c r="C27" s="104"/>
      <c r="D27" s="105"/>
      <c r="E27" s="104"/>
      <c r="F27" s="106"/>
      <c r="H27" s="107" t="n">
        <f aca="false">IF(DATE(YEAR($C$5)-26,MONTH($C$5),DAY($C$5))&lt;$D27,1,0)</f>
        <v>1</v>
      </c>
      <c r="I27" s="107" t="n">
        <f aca="false">IF(D27&lt;&gt;0,IF(DATE(YEAR($C$5)-26,MONTH($C$5),DAY($C$5))&gt;=$D27,1,0),0)</f>
        <v>0</v>
      </c>
      <c r="J27" s="39" t="n">
        <f aca="false">IF(ISERR(FIND("praha",LOWER(F27))),0,1)*H27</f>
        <v>0</v>
      </c>
    </row>
    <row r="28" customFormat="false" ht="13.5" hidden="false" customHeight="true" outlineLevel="0" collapsed="false">
      <c r="A28" s="93" t="s">
        <v>30</v>
      </c>
      <c r="B28" s="104"/>
      <c r="C28" s="104"/>
      <c r="D28" s="105"/>
      <c r="E28" s="104"/>
      <c r="F28" s="106"/>
      <c r="H28" s="107" t="n">
        <f aca="false">IF(DATE(YEAR($C$5)-26,MONTH($C$5),DAY($C$5))&lt;$D28,1,0)</f>
        <v>1</v>
      </c>
      <c r="I28" s="107" t="n">
        <f aca="false">IF(D28&lt;&gt;0,IF(DATE(YEAR($C$5)-26,MONTH($C$5),DAY($C$5))&gt;=$D28,1,0),0)</f>
        <v>0</v>
      </c>
      <c r="J28" s="39" t="n">
        <f aca="false">IF(ISERR(FIND("praha",LOWER(F28))),0,1)*H28</f>
        <v>0</v>
      </c>
    </row>
    <row r="29" customFormat="false" ht="13.5" hidden="false" customHeight="true" outlineLevel="0" collapsed="false">
      <c r="A29" s="93" t="s">
        <v>31</v>
      </c>
      <c r="B29" s="104"/>
      <c r="C29" s="104"/>
      <c r="D29" s="105"/>
      <c r="E29" s="104"/>
      <c r="F29" s="106"/>
      <c r="H29" s="107" t="n">
        <f aca="false">IF(DATE(YEAR($C$5)-26,MONTH($C$5),DAY($C$5))&lt;$D29,1,0)</f>
        <v>1</v>
      </c>
      <c r="I29" s="107" t="n">
        <f aca="false">IF(D29&lt;&gt;0,IF(DATE(YEAR($C$5)-26,MONTH($C$5),DAY($C$5))&gt;=$D29,1,0),0)</f>
        <v>0</v>
      </c>
      <c r="J29" s="39" t="n">
        <f aca="false">IF(ISERR(FIND("praha",LOWER(F29))),0,1)*H29</f>
        <v>0</v>
      </c>
    </row>
    <row r="30" customFormat="false" ht="13.5" hidden="false" customHeight="true" outlineLevel="0" collapsed="false">
      <c r="A30" s="93" t="s">
        <v>32</v>
      </c>
      <c r="B30" s="104"/>
      <c r="C30" s="104"/>
      <c r="D30" s="105"/>
      <c r="E30" s="104"/>
      <c r="F30" s="106"/>
      <c r="H30" s="107" t="n">
        <f aca="false">IF(DATE(YEAR($C$5)-26,MONTH($C$5),DAY($C$5))&lt;$D30,1,0)</f>
        <v>1</v>
      </c>
      <c r="I30" s="107" t="n">
        <f aca="false">IF(D30&lt;&gt;0,IF(DATE(YEAR($C$5)-26,MONTH($C$5),DAY($C$5))&gt;=$D30,1,0),0)</f>
        <v>0</v>
      </c>
      <c r="J30" s="39" t="n">
        <f aca="false">IF(ISERR(FIND("praha",LOWER(F30))),0,1)*H30</f>
        <v>0</v>
      </c>
    </row>
    <row r="31" customFormat="false" ht="13.5" hidden="false" customHeight="true" outlineLevel="0" collapsed="false">
      <c r="A31" s="93" t="s">
        <v>33</v>
      </c>
      <c r="B31" s="104"/>
      <c r="C31" s="104"/>
      <c r="D31" s="105"/>
      <c r="E31" s="104"/>
      <c r="F31" s="106"/>
      <c r="H31" s="107" t="n">
        <f aca="false">IF(DATE(YEAR($C$5)-26,MONTH($C$5),DAY($C$5))&lt;$D31,1,0)</f>
        <v>1</v>
      </c>
      <c r="I31" s="107" t="n">
        <f aca="false">IF(D31&lt;&gt;0,IF(DATE(YEAR($C$5)-26,MONTH($C$5),DAY($C$5))&gt;=$D31,1,0),0)</f>
        <v>0</v>
      </c>
      <c r="J31" s="39" t="n">
        <f aca="false">IF(ISERR(FIND("praha",LOWER(F31))),0,1)*H31</f>
        <v>0</v>
      </c>
    </row>
    <row r="32" customFormat="false" ht="13.5" hidden="false" customHeight="true" outlineLevel="0" collapsed="false">
      <c r="A32" s="93" t="s">
        <v>34</v>
      </c>
      <c r="B32" s="104"/>
      <c r="C32" s="104"/>
      <c r="D32" s="105"/>
      <c r="E32" s="104"/>
      <c r="F32" s="106"/>
      <c r="H32" s="107" t="n">
        <f aca="false">IF(DATE(YEAR($C$5)-26,MONTH($C$5),DAY($C$5))&lt;$D32,1,0)</f>
        <v>1</v>
      </c>
      <c r="I32" s="107" t="n">
        <f aca="false">IF(D32&lt;&gt;0,IF(DATE(YEAR($C$5)-26,MONTH($C$5),DAY($C$5))&gt;=$D32,1,0),0)</f>
        <v>0</v>
      </c>
      <c r="J32" s="39" t="n">
        <f aca="false">IF(ISERR(FIND("praha",LOWER(F32))),0,1)*H32</f>
        <v>0</v>
      </c>
    </row>
    <row r="33" customFormat="false" ht="13.5" hidden="false" customHeight="true" outlineLevel="0" collapsed="false">
      <c r="A33" s="93" t="s">
        <v>35</v>
      </c>
      <c r="B33" s="104"/>
      <c r="C33" s="104"/>
      <c r="D33" s="105"/>
      <c r="E33" s="104"/>
      <c r="F33" s="106"/>
      <c r="H33" s="107" t="n">
        <f aca="false">IF(DATE(YEAR($C$5)-26,MONTH($C$5),DAY($C$5))&lt;$D33,1,0)</f>
        <v>1</v>
      </c>
      <c r="I33" s="107" t="n">
        <f aca="false">IF(D33&lt;&gt;0,IF(DATE(YEAR($C$5)-26,MONTH($C$5),DAY($C$5))&gt;=$D33,1,0),0)</f>
        <v>0</v>
      </c>
      <c r="J33" s="39" t="n">
        <f aca="false">IF(ISERR(FIND("praha",LOWER(F33))),0,1)*H33</f>
        <v>0</v>
      </c>
    </row>
    <row r="34" customFormat="false" ht="13.5" hidden="false" customHeight="true" outlineLevel="0" collapsed="false">
      <c r="A34" s="93" t="s">
        <v>36</v>
      </c>
      <c r="B34" s="104"/>
      <c r="C34" s="104"/>
      <c r="D34" s="105"/>
      <c r="E34" s="104"/>
      <c r="F34" s="106"/>
      <c r="H34" s="107" t="n">
        <f aca="false">IF(DATE(YEAR($C$5)-26,MONTH($C$5),DAY($C$5))&lt;$D34,1,0)</f>
        <v>1</v>
      </c>
      <c r="I34" s="107" t="n">
        <f aca="false">IF(D34&lt;&gt;0,IF(DATE(YEAR($C$5)-26,MONTH($C$5),DAY($C$5))&gt;=$D34,1,0),0)</f>
        <v>0</v>
      </c>
      <c r="J34" s="39" t="n">
        <f aca="false">IF(ISERR(FIND("praha",LOWER(F34))),0,1)*H34</f>
        <v>0</v>
      </c>
    </row>
    <row r="35" customFormat="false" ht="13.5" hidden="false" customHeight="true" outlineLevel="0" collapsed="false">
      <c r="A35" s="93" t="s">
        <v>37</v>
      </c>
      <c r="B35" s="104"/>
      <c r="C35" s="104"/>
      <c r="D35" s="105"/>
      <c r="E35" s="104"/>
      <c r="F35" s="106"/>
      <c r="H35" s="107" t="n">
        <f aca="false">IF(DATE(YEAR($C$5)-26,MONTH($C$5),DAY($C$5))&lt;$D35,1,0)</f>
        <v>1</v>
      </c>
      <c r="I35" s="107" t="n">
        <f aca="false">IF(D35&lt;&gt;0,IF(DATE(YEAR($C$5)-26,MONTH($C$5),DAY($C$5))&gt;=$D35,1,0),0)</f>
        <v>0</v>
      </c>
      <c r="J35" s="39" t="n">
        <f aca="false">IF(ISERR(FIND("praha",LOWER(F35))),0,1)*H35</f>
        <v>0</v>
      </c>
    </row>
    <row r="36" customFormat="false" ht="13.5" hidden="false" customHeight="true" outlineLevel="0" collapsed="false">
      <c r="A36" s="93" t="s">
        <v>75</v>
      </c>
      <c r="B36" s="104"/>
      <c r="C36" s="104"/>
      <c r="D36" s="105"/>
      <c r="E36" s="104"/>
      <c r="F36" s="106"/>
      <c r="H36" s="107" t="n">
        <f aca="false">IF(DATE(YEAR($C$5)-26,MONTH($C$5),DAY($C$5))&lt;$D36,1,0)</f>
        <v>1</v>
      </c>
      <c r="I36" s="107" t="n">
        <f aca="false">IF(D36&lt;&gt;0,IF(DATE(YEAR($C$5)-26,MONTH($C$5),DAY($C$5))&gt;=$D36,1,0),0)</f>
        <v>0</v>
      </c>
      <c r="J36" s="39" t="n">
        <f aca="false">IF(ISERR(FIND("praha",LOWER(F36))),0,1)*H36</f>
        <v>0</v>
      </c>
    </row>
    <row r="37" customFormat="false" ht="13.5" hidden="false" customHeight="true" outlineLevel="0" collapsed="false">
      <c r="A37" s="93" t="s">
        <v>76</v>
      </c>
      <c r="B37" s="104"/>
      <c r="C37" s="104"/>
      <c r="D37" s="105"/>
      <c r="E37" s="104"/>
      <c r="F37" s="106"/>
      <c r="H37" s="107" t="n">
        <f aca="false">IF(DATE(YEAR($C$5)-26,MONTH($C$5),DAY($C$5))&lt;$D37,1,0)</f>
        <v>1</v>
      </c>
      <c r="I37" s="107" t="n">
        <f aca="false">IF(D37&lt;&gt;0,IF(DATE(YEAR($C$5)-26,MONTH($C$5),DAY($C$5))&gt;=$D37,1,0),0)</f>
        <v>0</v>
      </c>
      <c r="J37" s="39" t="n">
        <f aca="false">IF(ISERR(FIND("praha",LOWER(F37))),0,1)*H37</f>
        <v>0</v>
      </c>
    </row>
    <row r="38" customFormat="false" ht="13.5" hidden="false" customHeight="true" outlineLevel="0" collapsed="false">
      <c r="A38" s="93" t="s">
        <v>77</v>
      </c>
      <c r="B38" s="104"/>
      <c r="C38" s="104"/>
      <c r="D38" s="105"/>
      <c r="E38" s="104"/>
      <c r="F38" s="106"/>
      <c r="H38" s="107" t="n">
        <f aca="false">IF(DATE(YEAR($C$5)-26,MONTH($C$5),DAY($C$5))&lt;$D38,1,0)</f>
        <v>1</v>
      </c>
      <c r="I38" s="107" t="n">
        <f aca="false">IF(D38&lt;&gt;0,IF(DATE(YEAR($C$5)-26,MONTH($C$5),DAY($C$5))&gt;=$D38,1,0),0)</f>
        <v>0</v>
      </c>
      <c r="J38" s="39" t="n">
        <f aca="false">IF(ISERR(FIND("praha",LOWER(F38))),0,1)*H38</f>
        <v>0</v>
      </c>
    </row>
    <row r="39" customFormat="false" ht="13.5" hidden="false" customHeight="true" outlineLevel="0" collapsed="false">
      <c r="A39" s="93" t="s">
        <v>78</v>
      </c>
      <c r="B39" s="104"/>
      <c r="C39" s="104"/>
      <c r="D39" s="105"/>
      <c r="E39" s="104"/>
      <c r="F39" s="106"/>
      <c r="H39" s="107" t="n">
        <f aca="false">IF(DATE(YEAR($C$5)-26,MONTH($C$5),DAY($C$5))&lt;$D39,1,0)</f>
        <v>1</v>
      </c>
      <c r="I39" s="107" t="n">
        <f aca="false">IF(D39&lt;&gt;0,IF(DATE(YEAR($C$5)-26,MONTH($C$5),DAY($C$5))&gt;=$D39,1,0),0)</f>
        <v>0</v>
      </c>
      <c r="J39" s="39" t="n">
        <f aca="false">IF(ISERR(FIND("praha",LOWER(F39))),0,1)*H39</f>
        <v>0</v>
      </c>
    </row>
    <row r="40" customFormat="false" ht="13.5" hidden="false" customHeight="true" outlineLevel="0" collapsed="false">
      <c r="A40" s="93" t="s">
        <v>79</v>
      </c>
      <c r="B40" s="104"/>
      <c r="C40" s="104"/>
      <c r="D40" s="105"/>
      <c r="E40" s="104"/>
      <c r="F40" s="106"/>
      <c r="H40" s="107" t="n">
        <f aca="false">IF(DATE(YEAR($C$5)-26,MONTH($C$5),DAY($C$5))&lt;$D40,1,0)</f>
        <v>1</v>
      </c>
      <c r="I40" s="107" t="n">
        <f aca="false">IF(D40&lt;&gt;0,IF(DATE(YEAR($C$5)-26,MONTH($C$5),DAY($C$5))&gt;=$D40,1,0),0)</f>
        <v>0</v>
      </c>
      <c r="J40" s="39" t="n">
        <f aca="false">IF(ISERR(FIND("praha",LOWER(F40))),0,1)*H40</f>
        <v>0</v>
      </c>
    </row>
    <row r="41" customFormat="false" ht="13.5" hidden="false" customHeight="true" outlineLevel="0" collapsed="false">
      <c r="A41" s="93" t="s">
        <v>80</v>
      </c>
      <c r="B41" s="104"/>
      <c r="C41" s="104"/>
      <c r="D41" s="105"/>
      <c r="E41" s="104"/>
      <c r="F41" s="106"/>
      <c r="H41" s="107" t="n">
        <f aca="false">IF(DATE(YEAR($C$5)-26,MONTH($C$5),DAY($C$5))&lt;$D41,1,0)</f>
        <v>1</v>
      </c>
      <c r="I41" s="107" t="n">
        <f aca="false">IF(D41&lt;&gt;0,IF(DATE(YEAR($C$5)-26,MONTH($C$5),DAY($C$5))&gt;=$D41,1,0),0)</f>
        <v>0</v>
      </c>
      <c r="J41" s="39" t="n">
        <f aca="false">IF(ISERR(FIND("praha",LOWER(F41))),0,1)*H41</f>
        <v>0</v>
      </c>
    </row>
    <row r="42" customFormat="false" ht="13.5" hidden="false" customHeight="true" outlineLevel="0" collapsed="false">
      <c r="A42" s="93" t="s">
        <v>81</v>
      </c>
      <c r="B42" s="104"/>
      <c r="C42" s="104"/>
      <c r="D42" s="105"/>
      <c r="E42" s="104"/>
      <c r="F42" s="106"/>
      <c r="H42" s="107" t="n">
        <f aca="false">IF(DATE(YEAR($C$5)-26,MONTH($C$5),DAY($C$5))&lt;$D42,1,0)</f>
        <v>1</v>
      </c>
      <c r="I42" s="107" t="n">
        <f aca="false">IF(D42&lt;&gt;0,IF(DATE(YEAR($C$5)-26,MONTH($C$5),DAY($C$5))&gt;=$D42,1,0),0)</f>
        <v>0</v>
      </c>
      <c r="J42" s="39" t="n">
        <f aca="false">IF(ISERR(FIND("praha",LOWER(F42))),0,1)*H42</f>
        <v>0</v>
      </c>
    </row>
    <row r="43" customFormat="false" ht="13.5" hidden="false" customHeight="true" outlineLevel="0" collapsed="false">
      <c r="A43" s="93" t="s">
        <v>82</v>
      </c>
      <c r="B43" s="104"/>
      <c r="C43" s="104"/>
      <c r="D43" s="105"/>
      <c r="E43" s="104"/>
      <c r="F43" s="106"/>
      <c r="H43" s="107" t="n">
        <f aca="false">IF(DATE(YEAR($C$5)-26,MONTH($C$5),DAY($C$5))&lt;$D43,1,0)</f>
        <v>1</v>
      </c>
      <c r="I43" s="107" t="n">
        <f aca="false">IF(D43&lt;&gt;0,IF(DATE(YEAR($C$5)-26,MONTH($C$5),DAY($C$5))&gt;=$D43,1,0),0)</f>
        <v>0</v>
      </c>
      <c r="J43" s="39" t="n">
        <f aca="false">IF(ISERR(FIND("praha",LOWER(F43))),0,1)*H43</f>
        <v>0</v>
      </c>
    </row>
    <row r="44" customFormat="false" ht="13.5" hidden="false" customHeight="true" outlineLevel="0" collapsed="false">
      <c r="A44" s="93" t="s">
        <v>93</v>
      </c>
      <c r="B44" s="104"/>
      <c r="C44" s="104"/>
      <c r="D44" s="105"/>
      <c r="E44" s="104"/>
      <c r="F44" s="106"/>
      <c r="H44" s="107" t="n">
        <f aca="false">IF(DATE(YEAR($C$5)-26,MONTH($C$5),DAY($C$5))&lt;$D44,1,0)</f>
        <v>1</v>
      </c>
      <c r="I44" s="107" t="n">
        <f aca="false">IF(D44&lt;&gt;0,IF(DATE(YEAR($C$5)-26,MONTH($C$5),DAY($C$5))&gt;=$D44,1,0),0)</f>
        <v>0</v>
      </c>
      <c r="J44" s="39" t="n">
        <f aca="false">IF(ISERR(FIND("praha",LOWER(F44))),0,1)*H44</f>
        <v>0</v>
      </c>
    </row>
    <row r="45" customFormat="false" ht="13.5" hidden="false" customHeight="true" outlineLevel="0" collapsed="false">
      <c r="A45" s="93" t="s">
        <v>94</v>
      </c>
      <c r="B45" s="104"/>
      <c r="C45" s="104"/>
      <c r="D45" s="105"/>
      <c r="E45" s="104"/>
      <c r="F45" s="106"/>
      <c r="H45" s="107" t="n">
        <f aca="false">IF(DATE(YEAR($C$5)-26,MONTH($C$5),DAY($C$5))&lt;$D45,1,0)</f>
        <v>1</v>
      </c>
      <c r="I45" s="107" t="n">
        <f aca="false">IF(D45&lt;&gt;0,IF(DATE(YEAR($C$5)-26,MONTH($C$5),DAY($C$5))&gt;=$D45,1,0),0)</f>
        <v>0</v>
      </c>
      <c r="J45" s="39" t="n">
        <f aca="false">IF(ISERR(FIND("praha",LOWER(F45))),0,1)*H45</f>
        <v>0</v>
      </c>
    </row>
    <row r="46" customFormat="false" ht="13.5" hidden="false" customHeight="true" outlineLevel="0" collapsed="false">
      <c r="A46" s="93" t="s">
        <v>95</v>
      </c>
      <c r="B46" s="104"/>
      <c r="C46" s="104"/>
      <c r="D46" s="105"/>
      <c r="E46" s="104"/>
      <c r="F46" s="106"/>
      <c r="H46" s="107" t="n">
        <f aca="false">IF(DATE(YEAR($C$5)-26,MONTH($C$5),DAY($C$5))&lt;$D46,1,0)</f>
        <v>1</v>
      </c>
      <c r="I46" s="107" t="n">
        <f aca="false">IF(D46&lt;&gt;0,IF(DATE(YEAR($C$5)-26,MONTH($C$5),DAY($C$5))&gt;=$D46,1,0),0)</f>
        <v>0</v>
      </c>
      <c r="J46" s="39" t="n">
        <f aca="false">IF(ISERR(FIND("praha",LOWER(F46))),0,1)*H46</f>
        <v>0</v>
      </c>
    </row>
    <row r="47" customFormat="false" ht="13.5" hidden="false" customHeight="true" outlineLevel="0" collapsed="false">
      <c r="A47" s="93" t="s">
        <v>96</v>
      </c>
      <c r="B47" s="104"/>
      <c r="C47" s="104"/>
      <c r="D47" s="105"/>
      <c r="E47" s="104"/>
      <c r="F47" s="106"/>
      <c r="H47" s="107" t="n">
        <f aca="false">IF(DATE(YEAR($C$5)-26,MONTH($C$5),DAY($C$5))&lt;$D47,1,0)</f>
        <v>1</v>
      </c>
      <c r="I47" s="107" t="n">
        <f aca="false">IF(D47&lt;&gt;0,IF(DATE(YEAR($C$5)-26,MONTH($C$5),DAY($C$5))&gt;=$D47,1,0),0)</f>
        <v>0</v>
      </c>
      <c r="J47" s="39" t="n">
        <f aca="false">IF(ISERR(FIND("praha",LOWER(F47))),0,1)*H47</f>
        <v>0</v>
      </c>
    </row>
    <row r="48" customFormat="false" ht="13.5" hidden="false" customHeight="true" outlineLevel="0" collapsed="false">
      <c r="A48" s="93" t="s">
        <v>97</v>
      </c>
      <c r="B48" s="104"/>
      <c r="C48" s="104"/>
      <c r="D48" s="105"/>
      <c r="E48" s="104"/>
      <c r="F48" s="106"/>
      <c r="H48" s="107" t="n">
        <f aca="false">IF(DATE(YEAR($C$5)-26,MONTH($C$5),DAY($C$5))&lt;$D48,1,0)</f>
        <v>1</v>
      </c>
      <c r="I48" s="107" t="n">
        <f aca="false">IF(D48&lt;&gt;0,IF(DATE(YEAR($C$5)-26,MONTH($C$5),DAY($C$5))&gt;=$D48,1,0),0)</f>
        <v>0</v>
      </c>
      <c r="J48" s="39" t="n">
        <f aca="false">IF(ISERR(FIND("praha",LOWER(F48))),0,1)*H48</f>
        <v>0</v>
      </c>
    </row>
    <row r="49" customFormat="false" ht="13.5" hidden="false" customHeight="true" outlineLevel="0" collapsed="false">
      <c r="A49" s="93" t="s">
        <v>98</v>
      </c>
      <c r="B49" s="104"/>
      <c r="C49" s="104"/>
      <c r="D49" s="105"/>
      <c r="E49" s="104"/>
      <c r="F49" s="106"/>
      <c r="H49" s="107" t="n">
        <f aca="false">IF(DATE(YEAR($C$5)-26,MONTH($C$5),DAY($C$5))&lt;$D49,1,0)</f>
        <v>1</v>
      </c>
      <c r="I49" s="107" t="n">
        <f aca="false">IF(D49&lt;&gt;0,IF(DATE(YEAR($C$5)-26,MONTH($C$5),DAY($C$5))&gt;=$D49,1,0),0)</f>
        <v>0</v>
      </c>
      <c r="J49" s="39" t="n">
        <f aca="false">IF(ISERR(FIND("praha",LOWER(F49))),0,1)*H49</f>
        <v>0</v>
      </c>
    </row>
    <row r="50" customFormat="false" ht="13.5" hidden="false" customHeight="true" outlineLevel="0" collapsed="false">
      <c r="A50" s="93" t="s">
        <v>99</v>
      </c>
      <c r="B50" s="104"/>
      <c r="C50" s="104"/>
      <c r="D50" s="105"/>
      <c r="E50" s="104"/>
      <c r="F50" s="106"/>
      <c r="H50" s="107" t="n">
        <f aca="false">IF(DATE(YEAR($C$5)-26,MONTH($C$5),DAY($C$5))&lt;$D50,1,0)</f>
        <v>1</v>
      </c>
      <c r="I50" s="107" t="n">
        <f aca="false">IF(D50&lt;&gt;0,IF(DATE(YEAR($C$5)-26,MONTH($C$5),DAY($C$5))&gt;=$D50,1,0),0)</f>
        <v>0</v>
      </c>
      <c r="J50" s="39" t="n">
        <f aca="false">IF(ISERR(FIND("praha",LOWER(F50))),0,1)*H50</f>
        <v>0</v>
      </c>
    </row>
    <row r="51" customFormat="false" ht="13.5" hidden="false" customHeight="true" outlineLevel="0" collapsed="false">
      <c r="A51" s="93" t="s">
        <v>100</v>
      </c>
      <c r="B51" s="104"/>
      <c r="C51" s="104"/>
      <c r="D51" s="105"/>
      <c r="E51" s="104"/>
      <c r="F51" s="106"/>
      <c r="H51" s="107" t="n">
        <f aca="false">IF(DATE(YEAR($C$5)-26,MONTH($C$5),DAY($C$5))&lt;$D51,1,0)</f>
        <v>1</v>
      </c>
      <c r="I51" s="107" t="n">
        <f aca="false">IF(D51&lt;&gt;0,IF(DATE(YEAR($C$5)-26,MONTH($C$5),DAY($C$5))&gt;=$D51,1,0),0)</f>
        <v>0</v>
      </c>
      <c r="J51" s="39" t="n">
        <f aca="false">IF(ISERR(FIND("praha",LOWER(F51))),0,1)*H51</f>
        <v>0</v>
      </c>
    </row>
    <row r="52" customFormat="false" ht="13.5" hidden="false" customHeight="true" outlineLevel="0" collapsed="false">
      <c r="A52" s="93" t="s">
        <v>101</v>
      </c>
      <c r="B52" s="104"/>
      <c r="C52" s="104"/>
      <c r="D52" s="105"/>
      <c r="E52" s="104"/>
      <c r="F52" s="106"/>
      <c r="H52" s="107" t="n">
        <f aca="false">IF(DATE(YEAR($C$5)-26,MONTH($C$5),DAY($C$5))&lt;$D52,1,0)</f>
        <v>1</v>
      </c>
      <c r="I52" s="107" t="n">
        <f aca="false">IF(D52&lt;&gt;0,IF(DATE(YEAR($C$5)-26,MONTH($C$5),DAY($C$5))&gt;=$D52,1,0),0)</f>
        <v>0</v>
      </c>
      <c r="J52" s="39" t="n">
        <f aca="false">IF(ISERR(FIND("praha",LOWER(F52))),0,1)*H52</f>
        <v>0</v>
      </c>
    </row>
    <row r="53" customFormat="false" ht="13.5" hidden="false" customHeight="true" outlineLevel="0" collapsed="false">
      <c r="A53" s="93" t="s">
        <v>102</v>
      </c>
      <c r="B53" s="104"/>
      <c r="C53" s="104"/>
      <c r="D53" s="105"/>
      <c r="E53" s="104"/>
      <c r="F53" s="106"/>
      <c r="H53" s="107" t="n">
        <f aca="false">IF(DATE(YEAR($C$5)-26,MONTH($C$5),DAY($C$5))&lt;$D53,1,0)</f>
        <v>1</v>
      </c>
      <c r="I53" s="107" t="n">
        <f aca="false">IF(D53&lt;&gt;0,IF(DATE(YEAR($C$5)-26,MONTH($C$5),DAY($C$5))&gt;=$D53,1,0),0)</f>
        <v>0</v>
      </c>
      <c r="J53" s="39" t="n">
        <f aca="false">IF(ISERR(FIND("praha",LOWER(F53))),0,1)*H53</f>
        <v>0</v>
      </c>
    </row>
    <row r="54" customFormat="false" ht="13.5" hidden="false" customHeight="true" outlineLevel="0" collapsed="false">
      <c r="A54" s="93" t="s">
        <v>103</v>
      </c>
      <c r="B54" s="104"/>
      <c r="C54" s="104"/>
      <c r="D54" s="105"/>
      <c r="E54" s="104"/>
      <c r="F54" s="106"/>
      <c r="H54" s="107" t="n">
        <f aca="false">IF(DATE(YEAR($C$5)-26,MONTH($C$5),DAY($C$5))&lt;$D54,1,0)</f>
        <v>1</v>
      </c>
      <c r="I54" s="107" t="n">
        <f aca="false">IF(D54&lt;&gt;0,IF(DATE(YEAR($C$5)-26,MONTH($C$5),DAY($C$5))&gt;=$D54,1,0),0)</f>
        <v>0</v>
      </c>
      <c r="J54" s="39" t="n">
        <f aca="false">IF(ISERR(FIND("praha",LOWER(F54))),0,1)*H54</f>
        <v>0</v>
      </c>
    </row>
    <row r="55" customFormat="false" ht="13.5" hidden="false" customHeight="true" outlineLevel="0" collapsed="false">
      <c r="A55" s="93" t="s">
        <v>104</v>
      </c>
      <c r="B55" s="104"/>
      <c r="C55" s="104"/>
      <c r="D55" s="105"/>
      <c r="E55" s="104"/>
      <c r="F55" s="106"/>
      <c r="H55" s="107" t="n">
        <f aca="false">IF(DATE(YEAR($C$5)-26,MONTH($C$5),DAY($C$5))&lt;$D55,1,0)</f>
        <v>1</v>
      </c>
      <c r="I55" s="107" t="n">
        <f aca="false">IF(D55&lt;&gt;0,IF(DATE(YEAR($C$5)-26,MONTH($C$5),DAY($C$5))&gt;=$D55,1,0),0)</f>
        <v>0</v>
      </c>
      <c r="J55" s="39" t="n">
        <f aca="false">IF(ISERR(FIND("praha",LOWER(F55))),0,1)*H55</f>
        <v>0</v>
      </c>
    </row>
    <row r="56" customFormat="false" ht="13.5" hidden="false" customHeight="true" outlineLevel="0" collapsed="false">
      <c r="A56" s="93" t="s">
        <v>105</v>
      </c>
      <c r="B56" s="104"/>
      <c r="C56" s="104"/>
      <c r="D56" s="105"/>
      <c r="E56" s="104"/>
      <c r="F56" s="106"/>
      <c r="H56" s="107" t="n">
        <f aca="false">IF(DATE(YEAR($C$5)-26,MONTH($C$5),DAY($C$5))&lt;$D56,1,0)</f>
        <v>1</v>
      </c>
      <c r="I56" s="107" t="n">
        <f aca="false">IF(D56&lt;&gt;0,IF(DATE(YEAR($C$5)-26,MONTH($C$5),DAY($C$5))&gt;=$D56,1,0),0)</f>
        <v>0</v>
      </c>
      <c r="J56" s="39" t="n">
        <f aca="false">IF(ISERR(FIND("praha",LOWER(F56))),0,1)*H56</f>
        <v>0</v>
      </c>
    </row>
    <row r="57" customFormat="false" ht="13.5" hidden="false" customHeight="true" outlineLevel="0" collapsed="false">
      <c r="A57" s="93" t="s">
        <v>106</v>
      </c>
      <c r="B57" s="104"/>
      <c r="C57" s="104"/>
      <c r="D57" s="105"/>
      <c r="E57" s="104"/>
      <c r="F57" s="106"/>
      <c r="H57" s="107" t="n">
        <f aca="false">IF(DATE(YEAR($C$5)-26,MONTH($C$5),DAY($C$5))&lt;$D57,1,0)</f>
        <v>1</v>
      </c>
      <c r="I57" s="107" t="n">
        <f aca="false">IF(D57&lt;&gt;0,IF(DATE(YEAR($C$5)-26,MONTH($C$5),DAY($C$5))&gt;=$D57,1,0),0)</f>
        <v>0</v>
      </c>
      <c r="J57" s="39" t="n">
        <f aca="false">IF(ISERR(FIND("praha",LOWER(F57))),0,1)*H57</f>
        <v>0</v>
      </c>
    </row>
    <row r="58" customFormat="false" ht="13.5" hidden="false" customHeight="true" outlineLevel="0" collapsed="false">
      <c r="A58" s="93" t="s">
        <v>107</v>
      </c>
      <c r="B58" s="104"/>
      <c r="C58" s="104"/>
      <c r="D58" s="105"/>
      <c r="E58" s="104"/>
      <c r="F58" s="106"/>
      <c r="H58" s="107" t="n">
        <f aca="false">IF(DATE(YEAR($C$5)-26,MONTH($C$5),DAY($C$5))&lt;$D58,1,0)</f>
        <v>1</v>
      </c>
      <c r="I58" s="107" t="n">
        <f aca="false">IF(D58&lt;&gt;0,IF(DATE(YEAR($C$5)-26,MONTH($C$5),DAY($C$5))&gt;=$D58,1,0),0)</f>
        <v>0</v>
      </c>
      <c r="J58" s="39" t="n">
        <f aca="false">IF(ISERR(FIND("praha",LOWER(F58))),0,1)*H58</f>
        <v>0</v>
      </c>
    </row>
    <row r="59" customFormat="false" ht="13.5" hidden="false" customHeight="true" outlineLevel="0" collapsed="false">
      <c r="A59" s="93" t="s">
        <v>108</v>
      </c>
      <c r="B59" s="104"/>
      <c r="C59" s="104"/>
      <c r="D59" s="105"/>
      <c r="E59" s="104"/>
      <c r="F59" s="106"/>
      <c r="H59" s="107" t="n">
        <f aca="false">IF(DATE(YEAR($C$5)-26,MONTH($C$5),DAY($C$5))&lt;$D59,1,0)</f>
        <v>1</v>
      </c>
      <c r="I59" s="107" t="n">
        <f aca="false">IF(D59&lt;&gt;0,IF(DATE(YEAR($C$5)-26,MONTH($C$5),DAY($C$5))&gt;=$D59,1,0),0)</f>
        <v>0</v>
      </c>
      <c r="J59" s="39" t="n">
        <f aca="false">IF(ISERR(FIND("praha",LOWER(F59))),0,1)*H59</f>
        <v>0</v>
      </c>
    </row>
    <row r="60" customFormat="false" ht="13.5" hidden="false" customHeight="true" outlineLevel="0" collapsed="false">
      <c r="A60" s="93" t="s">
        <v>109</v>
      </c>
      <c r="B60" s="104"/>
      <c r="C60" s="104"/>
      <c r="D60" s="105"/>
      <c r="E60" s="104"/>
      <c r="F60" s="106"/>
      <c r="H60" s="107" t="n">
        <f aca="false">IF(DATE(YEAR($C$5)-26,MONTH($C$5),DAY($C$5))&lt;$D60,1,0)</f>
        <v>1</v>
      </c>
      <c r="I60" s="107" t="n">
        <f aca="false">IF(D60&lt;&gt;0,IF(DATE(YEAR($C$5)-26,MONTH($C$5),DAY($C$5))&gt;=$D60,1,0),0)</f>
        <v>0</v>
      </c>
      <c r="J60" s="39" t="n">
        <f aca="false">IF(ISERR(FIND("praha",LOWER(F60))),0,1)*H60</f>
        <v>0</v>
      </c>
    </row>
    <row r="61" customFormat="false" ht="13.5" hidden="false" customHeight="true" outlineLevel="0" collapsed="false">
      <c r="A61" s="93" t="s">
        <v>110</v>
      </c>
      <c r="B61" s="104"/>
      <c r="C61" s="104"/>
      <c r="D61" s="105"/>
      <c r="E61" s="104"/>
      <c r="F61" s="106"/>
      <c r="H61" s="107" t="n">
        <f aca="false">IF(DATE(YEAR($C$5)-26,MONTH($C$5),DAY($C$5))&lt;$D61,1,0)</f>
        <v>1</v>
      </c>
      <c r="I61" s="107" t="n">
        <f aca="false">IF(D61&lt;&gt;0,IF(DATE(YEAR($C$5)-26,MONTH($C$5),DAY($C$5))&gt;=$D61,1,0),0)</f>
        <v>0</v>
      </c>
      <c r="J61" s="39" t="n">
        <f aca="false">IF(ISERR(FIND("praha",LOWER(F61))),0,1)*H61</f>
        <v>0</v>
      </c>
    </row>
    <row r="62" customFormat="false" ht="13.5" hidden="false" customHeight="true" outlineLevel="0" collapsed="false">
      <c r="A62" s="93" t="s">
        <v>111</v>
      </c>
      <c r="B62" s="104"/>
      <c r="C62" s="104"/>
      <c r="D62" s="105"/>
      <c r="E62" s="104"/>
      <c r="F62" s="106"/>
      <c r="H62" s="107" t="n">
        <f aca="false">IF(DATE(YEAR($C$5)-26,MONTH($C$5),DAY($C$5))&lt;$D62,1,0)</f>
        <v>1</v>
      </c>
      <c r="I62" s="107" t="n">
        <f aca="false">IF(D62&lt;&gt;0,IF(DATE(YEAR($C$5)-26,MONTH($C$5),DAY($C$5))&gt;=$D62,1,0),0)</f>
        <v>0</v>
      </c>
      <c r="J62" s="39" t="n">
        <f aca="false">IF(ISERR(FIND("praha",LOWER(F62))),0,1)*H62</f>
        <v>0</v>
      </c>
    </row>
    <row r="63" customFormat="false" ht="13.5" hidden="false" customHeight="true" outlineLevel="0" collapsed="false">
      <c r="A63" s="93" t="s">
        <v>112</v>
      </c>
      <c r="B63" s="104"/>
      <c r="C63" s="104"/>
      <c r="D63" s="105"/>
      <c r="E63" s="104"/>
      <c r="F63" s="106"/>
      <c r="H63" s="107" t="n">
        <f aca="false">IF(DATE(YEAR($C$5)-26,MONTH($C$5),DAY($C$5))&lt;$D63,1,0)</f>
        <v>1</v>
      </c>
      <c r="I63" s="107" t="n">
        <f aca="false">IF(D63&lt;&gt;0,IF(DATE(YEAR($C$5)-26,MONTH($C$5),DAY($C$5))&gt;=$D63,1,0),0)</f>
        <v>0</v>
      </c>
      <c r="J63" s="39" t="n">
        <f aca="false">IF(ISERR(FIND("praha",LOWER(F63))),0,1)*H63</f>
        <v>0</v>
      </c>
    </row>
    <row r="64" customFormat="false" ht="13.5" hidden="false" customHeight="true" outlineLevel="0" collapsed="false">
      <c r="A64" s="93" t="s">
        <v>113</v>
      </c>
      <c r="B64" s="104"/>
      <c r="C64" s="104"/>
      <c r="D64" s="105"/>
      <c r="E64" s="104"/>
      <c r="F64" s="106"/>
      <c r="H64" s="107" t="n">
        <f aca="false">IF(DATE(YEAR($C$5)-26,MONTH($C$5),DAY($C$5))&lt;$D64,1,0)</f>
        <v>1</v>
      </c>
      <c r="I64" s="107" t="n">
        <f aca="false">IF(D64&lt;&gt;0,IF(DATE(YEAR($C$5)-26,MONTH($C$5),DAY($C$5))&gt;=$D64,1,0),0)</f>
        <v>0</v>
      </c>
      <c r="J64" s="39" t="n">
        <f aca="false">IF(ISERR(FIND("praha",LOWER(F64))),0,1)*H64</f>
        <v>0</v>
      </c>
    </row>
    <row r="65" customFormat="false" ht="13.5" hidden="false" customHeight="true" outlineLevel="0" collapsed="false">
      <c r="A65" s="93" t="s">
        <v>114</v>
      </c>
      <c r="B65" s="104"/>
      <c r="C65" s="104"/>
      <c r="D65" s="105"/>
      <c r="E65" s="104"/>
      <c r="F65" s="106"/>
      <c r="H65" s="107" t="n">
        <f aca="false">IF(DATE(YEAR($C$5)-26,MONTH($C$5),DAY($C$5))&lt;$D65,1,0)</f>
        <v>1</v>
      </c>
      <c r="I65" s="107" t="n">
        <f aca="false">IF(D65&lt;&gt;0,IF(DATE(YEAR($C$5)-26,MONTH($C$5),DAY($C$5))&gt;=$D65,1,0),0)</f>
        <v>0</v>
      </c>
      <c r="J65" s="39" t="n">
        <f aca="false">IF(ISERR(FIND("praha",LOWER(F65))),0,1)*H65</f>
        <v>0</v>
      </c>
    </row>
    <row r="66" customFormat="false" ht="13.5" hidden="false" customHeight="true" outlineLevel="0" collapsed="false">
      <c r="A66" s="93" t="s">
        <v>115</v>
      </c>
      <c r="B66" s="104"/>
      <c r="C66" s="104"/>
      <c r="D66" s="105"/>
      <c r="E66" s="104"/>
      <c r="F66" s="106"/>
      <c r="H66" s="107" t="n">
        <f aca="false">IF(DATE(YEAR($C$5)-26,MONTH($C$5),DAY($C$5))&lt;$D66,1,0)</f>
        <v>1</v>
      </c>
      <c r="I66" s="107" t="n">
        <f aca="false">IF(D66&lt;&gt;0,IF(DATE(YEAR($C$5)-26,MONTH($C$5),DAY($C$5))&gt;=$D66,1,0),0)</f>
        <v>0</v>
      </c>
      <c r="J66" s="39" t="n">
        <f aca="false">IF(ISERR(FIND("praha",LOWER(F66))),0,1)*H66</f>
        <v>0</v>
      </c>
    </row>
    <row r="67" customFormat="false" ht="13.5" hidden="false" customHeight="true" outlineLevel="0" collapsed="false">
      <c r="A67" s="93" t="s">
        <v>116</v>
      </c>
      <c r="B67" s="104"/>
      <c r="C67" s="104"/>
      <c r="D67" s="105"/>
      <c r="E67" s="104"/>
      <c r="F67" s="106"/>
      <c r="H67" s="107" t="n">
        <f aca="false">IF(DATE(YEAR($C$5)-26,MONTH($C$5),DAY($C$5))&lt;$D67,1,0)</f>
        <v>1</v>
      </c>
      <c r="I67" s="107" t="n">
        <f aca="false">IF(D67&lt;&gt;0,IF(DATE(YEAR($C$5)-26,MONTH($C$5),DAY($C$5))&gt;=$D67,1,0),0)</f>
        <v>0</v>
      </c>
      <c r="J67" s="39" t="n">
        <f aca="false">IF(ISERR(FIND("praha",LOWER(F67))),0,1)*H67</f>
        <v>0</v>
      </c>
    </row>
    <row r="68" customFormat="false" ht="13.5" hidden="false" customHeight="true" outlineLevel="0" collapsed="false">
      <c r="A68" s="93" t="s">
        <v>117</v>
      </c>
      <c r="B68" s="104"/>
      <c r="C68" s="104"/>
      <c r="D68" s="105"/>
      <c r="E68" s="104"/>
      <c r="F68" s="106"/>
      <c r="H68" s="107" t="n">
        <f aca="false">IF(DATE(YEAR($C$5)-26,MONTH($C$5),DAY($C$5))&lt;$D68,1,0)</f>
        <v>1</v>
      </c>
      <c r="I68" s="107" t="n">
        <f aca="false">IF(D68&lt;&gt;0,IF(DATE(YEAR($C$5)-26,MONTH($C$5),DAY($C$5))&gt;=$D68,1,0),0)</f>
        <v>0</v>
      </c>
      <c r="J68" s="39" t="n">
        <f aca="false">IF(ISERR(FIND("praha",LOWER(F68))),0,1)*H68</f>
        <v>0</v>
      </c>
    </row>
    <row r="69" customFormat="false" ht="13.5" hidden="false" customHeight="true" outlineLevel="0" collapsed="false">
      <c r="A69" s="93" t="s">
        <v>118</v>
      </c>
      <c r="B69" s="104"/>
      <c r="C69" s="104"/>
      <c r="D69" s="105"/>
      <c r="E69" s="104"/>
      <c r="F69" s="106"/>
      <c r="H69" s="107" t="n">
        <f aca="false">IF(DATE(YEAR($C$5)-26,MONTH($C$5),DAY($C$5))&lt;$D69,1,0)</f>
        <v>1</v>
      </c>
      <c r="I69" s="107" t="n">
        <f aca="false">IF(D69&lt;&gt;0,IF(DATE(YEAR($C$5)-26,MONTH($C$5),DAY($C$5))&gt;=$D69,1,0),0)</f>
        <v>0</v>
      </c>
      <c r="J69" s="39" t="n">
        <f aca="false">IF(ISERR(FIND("praha",LOWER(F69))),0,1)*H69</f>
        <v>0</v>
      </c>
    </row>
    <row r="70" customFormat="false" ht="13.5" hidden="false" customHeight="true" outlineLevel="0" collapsed="false">
      <c r="A70" s="93" t="s">
        <v>119</v>
      </c>
      <c r="B70" s="104"/>
      <c r="C70" s="104"/>
      <c r="D70" s="105"/>
      <c r="E70" s="104"/>
      <c r="F70" s="106"/>
      <c r="H70" s="107" t="n">
        <f aca="false">IF(DATE(YEAR($C$5)-26,MONTH($C$5),DAY($C$5))&lt;$D70,1,0)</f>
        <v>1</v>
      </c>
      <c r="I70" s="107" t="n">
        <f aca="false">IF(D70&lt;&gt;0,IF(DATE(YEAR($C$5)-26,MONTH($C$5),DAY($C$5))&gt;=$D70,1,0),0)</f>
        <v>0</v>
      </c>
      <c r="J70" s="39" t="n">
        <f aca="false">IF(ISERR(FIND("praha",LOWER(F70))),0,1)*H70</f>
        <v>0</v>
      </c>
    </row>
    <row r="71" customFormat="false" ht="13.5" hidden="false" customHeight="true" outlineLevel="0" collapsed="false">
      <c r="A71" s="93" t="s">
        <v>120</v>
      </c>
      <c r="B71" s="104"/>
      <c r="C71" s="104"/>
      <c r="D71" s="105"/>
      <c r="E71" s="104"/>
      <c r="F71" s="106"/>
      <c r="H71" s="107" t="n">
        <f aca="false">IF(DATE(YEAR($C$5)-26,MONTH($C$5),DAY($C$5))&lt;$D71,1,0)</f>
        <v>1</v>
      </c>
      <c r="I71" s="107" t="n">
        <f aca="false">IF(D71&lt;&gt;0,IF(DATE(YEAR($C$5)-26,MONTH($C$5),DAY($C$5))&gt;=$D71,1,0),0)</f>
        <v>0</v>
      </c>
      <c r="J71" s="39" t="n">
        <f aca="false">IF(ISERR(FIND("praha",LOWER(F71))),0,1)*H71</f>
        <v>0</v>
      </c>
    </row>
    <row r="72" customFormat="false" ht="13.5" hidden="false" customHeight="true" outlineLevel="0" collapsed="false">
      <c r="A72" s="93" t="s">
        <v>121</v>
      </c>
      <c r="B72" s="104"/>
      <c r="C72" s="104"/>
      <c r="D72" s="105"/>
      <c r="E72" s="104"/>
      <c r="F72" s="106"/>
      <c r="H72" s="107" t="n">
        <f aca="false">IF(DATE(YEAR($C$5)-26,MONTH($C$5),DAY($C$5))&lt;$D72,1,0)</f>
        <v>1</v>
      </c>
      <c r="I72" s="107" t="n">
        <f aca="false">IF(D72&lt;&gt;0,IF(DATE(YEAR($C$5)-26,MONTH($C$5),DAY($C$5))&gt;=$D72,1,0),0)</f>
        <v>0</v>
      </c>
      <c r="J72" s="39" t="n">
        <f aca="false">IF(ISERR(FIND("praha",LOWER(F72))),0,1)*H72</f>
        <v>0</v>
      </c>
    </row>
    <row r="73" customFormat="false" ht="13.5" hidden="false" customHeight="true" outlineLevel="0" collapsed="false">
      <c r="A73" s="93" t="s">
        <v>122</v>
      </c>
      <c r="B73" s="104"/>
      <c r="C73" s="104"/>
      <c r="D73" s="105"/>
      <c r="E73" s="104"/>
      <c r="F73" s="106"/>
      <c r="H73" s="107" t="n">
        <f aca="false">IF(DATE(YEAR($C$5)-26,MONTH($C$5),DAY($C$5))&lt;$D73,1,0)</f>
        <v>1</v>
      </c>
      <c r="I73" s="107" t="n">
        <f aca="false">IF(D73&lt;&gt;0,IF(DATE(YEAR($C$5)-26,MONTH($C$5),DAY($C$5))&gt;=$D73,1,0),0)</f>
        <v>0</v>
      </c>
      <c r="J73" s="39" t="n">
        <f aca="false">IF(ISERR(FIND("praha",LOWER(F73))),0,1)*H73</f>
        <v>0</v>
      </c>
    </row>
    <row r="74" customFormat="false" ht="13.5" hidden="false" customHeight="true" outlineLevel="0" collapsed="false">
      <c r="A74" s="93" t="s">
        <v>123</v>
      </c>
      <c r="B74" s="104"/>
      <c r="C74" s="104"/>
      <c r="D74" s="105"/>
      <c r="E74" s="104"/>
      <c r="F74" s="106"/>
      <c r="H74" s="107" t="n">
        <f aca="false">IF(DATE(YEAR($C$5)-26,MONTH($C$5),DAY($C$5))&lt;$D74,1,0)</f>
        <v>1</v>
      </c>
      <c r="I74" s="107" t="n">
        <f aca="false">IF(D74&lt;&gt;0,IF(DATE(YEAR($C$5)-26,MONTH($C$5),DAY($C$5))&gt;=$D74,1,0),0)</f>
        <v>0</v>
      </c>
      <c r="J74" s="39" t="n">
        <f aca="false">IF(ISERR(FIND("praha",LOWER(F74))),0,1)*H74</f>
        <v>0</v>
      </c>
    </row>
    <row r="75" customFormat="false" ht="13.5" hidden="false" customHeight="true" outlineLevel="0" collapsed="false">
      <c r="A75" s="93" t="s">
        <v>124</v>
      </c>
      <c r="B75" s="104"/>
      <c r="C75" s="104"/>
      <c r="D75" s="105"/>
      <c r="E75" s="104"/>
      <c r="F75" s="106"/>
      <c r="H75" s="107" t="n">
        <f aca="false">IF(DATE(YEAR($C$5)-26,MONTH($C$5),DAY($C$5))&lt;$D75,1,0)</f>
        <v>1</v>
      </c>
      <c r="I75" s="107" t="n">
        <f aca="false">IF(D75&lt;&gt;0,IF(DATE(YEAR($C$5)-26,MONTH($C$5),DAY($C$5))&gt;=$D75,1,0),0)</f>
        <v>0</v>
      </c>
      <c r="J75" s="39" t="n">
        <f aca="false">IF(ISERR(FIND("praha",LOWER(F75))),0,1)*H75</f>
        <v>0</v>
      </c>
    </row>
    <row r="76" customFormat="false" ht="13.5" hidden="false" customHeight="true" outlineLevel="0" collapsed="false">
      <c r="A76" s="93" t="s">
        <v>125</v>
      </c>
      <c r="B76" s="104"/>
      <c r="C76" s="104"/>
      <c r="D76" s="105"/>
      <c r="E76" s="104"/>
      <c r="F76" s="106"/>
      <c r="H76" s="107" t="n">
        <f aca="false">IF(DATE(YEAR($C$5)-26,MONTH($C$5),DAY($C$5))&lt;$D76,1,0)</f>
        <v>1</v>
      </c>
      <c r="I76" s="107" t="n">
        <f aca="false">IF(D76&lt;&gt;0,IF(DATE(YEAR($C$5)-26,MONTH($C$5),DAY($C$5))&gt;=$D76,1,0),0)</f>
        <v>0</v>
      </c>
      <c r="J76" s="39" t="n">
        <f aca="false">IF(ISERR(FIND("praha",LOWER(F76))),0,1)*H76</f>
        <v>0</v>
      </c>
    </row>
    <row r="77" customFormat="false" ht="13.5" hidden="false" customHeight="true" outlineLevel="0" collapsed="false">
      <c r="A77" s="93" t="s">
        <v>126</v>
      </c>
      <c r="B77" s="104"/>
      <c r="C77" s="104"/>
      <c r="D77" s="105"/>
      <c r="E77" s="104"/>
      <c r="F77" s="106"/>
      <c r="H77" s="107" t="n">
        <f aca="false">IF(DATE(YEAR($C$5)-26,MONTH($C$5),DAY($C$5))&lt;$D77,1,0)</f>
        <v>1</v>
      </c>
      <c r="I77" s="107" t="n">
        <f aca="false">IF(D77&lt;&gt;0,IF(DATE(YEAR($C$5)-26,MONTH($C$5),DAY($C$5))&gt;=$D77,1,0),0)</f>
        <v>0</v>
      </c>
      <c r="J77" s="39" t="n">
        <f aca="false">IF(ISERR(FIND("praha",LOWER(F77))),0,1)*H77</f>
        <v>0</v>
      </c>
    </row>
    <row r="78" customFormat="false" ht="13.5" hidden="false" customHeight="true" outlineLevel="0" collapsed="false">
      <c r="A78" s="93" t="s">
        <v>127</v>
      </c>
      <c r="B78" s="104"/>
      <c r="C78" s="104"/>
      <c r="D78" s="105"/>
      <c r="E78" s="104"/>
      <c r="F78" s="106"/>
      <c r="H78" s="107" t="n">
        <f aca="false">IF(DATE(YEAR($C$5)-26,MONTH($C$5),DAY($C$5))&lt;$D78,1,0)</f>
        <v>1</v>
      </c>
      <c r="I78" s="107" t="n">
        <f aca="false">IF(D78&lt;&gt;0,IF(DATE(YEAR($C$5)-26,MONTH($C$5),DAY($C$5))&gt;=$D78,1,0),0)</f>
        <v>0</v>
      </c>
      <c r="J78" s="39" t="n">
        <f aca="false">IF(ISERR(FIND("praha",LOWER(F78))),0,1)*H78</f>
        <v>0</v>
      </c>
    </row>
    <row r="79" customFormat="false" ht="12.75" hidden="false" customHeight="false" outlineLevel="0" collapsed="false">
      <c r="E79" s="108"/>
    </row>
    <row r="80" customFormat="false" ht="15" hidden="false" customHeight="false" outlineLevel="0" collapsed="false">
      <c r="A80" s="93" t="s">
        <v>84</v>
      </c>
      <c r="B80" s="93"/>
      <c r="C80" s="53"/>
      <c r="D80" s="93" t="str">
        <f aca="false">IF(C2="","0",SUM(H9:H78))</f>
        <v>0</v>
      </c>
      <c r="E80" s="99" t="str">
        <f aca="false">IF(D80&lt;8,"Tato Akce nevyhovuje z důvodu 'Menší počet účastníků než 8'","")</f>
        <v/>
      </c>
    </row>
    <row r="81" customFormat="false" ht="15" hidden="false" customHeight="false" outlineLevel="0" collapsed="false">
      <c r="A81" s="100" t="s">
        <v>85</v>
      </c>
      <c r="B81" s="100"/>
      <c r="C81" s="100"/>
      <c r="D81" s="100" t="str">
        <f aca="false">IF(C2="","0",SUM(I9:I78))</f>
        <v>0</v>
      </c>
    </row>
    <row r="82" customFormat="false" ht="15" hidden="false" customHeight="false" outlineLevel="0" collapsed="false">
      <c r="A82" s="36" t="s">
        <v>86</v>
      </c>
      <c r="B82" s="36"/>
      <c r="C82" s="36"/>
      <c r="D82" s="36" t="str">
        <f aca="false">IF(C2="","0",+D81+D80)</f>
        <v>0</v>
      </c>
    </row>
    <row r="83" customFormat="false" ht="15" hidden="false" customHeight="false" outlineLevel="0" collapsed="false">
      <c r="A83" s="99" t="s">
        <v>87</v>
      </c>
      <c r="B83" s="99"/>
      <c r="C83" s="99"/>
      <c r="D83" s="99" t="str">
        <f aca="false">IF(C2="","0",SUM(J9:J78))</f>
        <v>0</v>
      </c>
    </row>
    <row r="85" customFormat="false" ht="15" hidden="false" customHeight="false" outlineLevel="0" collapsed="false">
      <c r="A85" s="37" t="str">
        <f aca="true">IF($C$2&lt;&gt;"","Datum: "&amp;TEXT(TODAY(),"dd.mm.rrrr"),"Datum: ........................................")</f>
        <v>Datum: ........................................</v>
      </c>
      <c r="D85" s="101" t="s">
        <v>88</v>
      </c>
      <c r="E85" s="53"/>
    </row>
    <row r="86" customFormat="false" ht="15" hidden="false" customHeight="false" outlineLevel="0" collapsed="false">
      <c r="A86" s="53"/>
      <c r="B86" s="53"/>
      <c r="C86" s="53"/>
      <c r="D86" s="53"/>
      <c r="E86" s="93" t="s">
        <v>89</v>
      </c>
    </row>
    <row r="87" customFormat="false" ht="12.75" hidden="false" customHeight="false" outlineLevel="0" collapsed="false">
      <c r="F87" s="35" t="str">
        <f aca="false">"© 31/7/2008 Hop"</f>
        <v>© 31/7/2008 Hop</v>
      </c>
    </row>
    <row r="88" customFormat="false" ht="15.75" hidden="false" customHeight="false" outlineLevel="0" collapsed="false">
      <c r="A88" s="93"/>
      <c r="B88" s="93"/>
      <c r="C88" s="93"/>
    </row>
    <row r="89" customFormat="false" ht="15.75" hidden="false" customHeight="false" outlineLevel="0" collapsed="false">
      <c r="A89" s="53"/>
      <c r="B89" s="53"/>
      <c r="C89" s="53"/>
      <c r="D89" s="53"/>
      <c r="E89" s="53"/>
    </row>
    <row r="90" customFormat="false" ht="15.75" hidden="false" customHeight="false" outlineLevel="0" collapsed="false">
      <c r="A90" s="53"/>
      <c r="B90" s="53"/>
      <c r="C90" s="53"/>
      <c r="D90" s="53"/>
      <c r="E90" s="53"/>
      <c r="F90" s="55"/>
    </row>
    <row r="91" customFormat="false" ht="15.75" hidden="false" customHeight="false" outlineLevel="0" collapsed="false">
      <c r="A91" s="53"/>
      <c r="B91" s="53"/>
      <c r="C91" s="53"/>
      <c r="D91" s="53"/>
      <c r="E91" s="53"/>
    </row>
    <row r="92" customFormat="false" ht="15.75" hidden="false" customHeight="false" outlineLevel="0" collapsed="false">
      <c r="A92" s="53"/>
      <c r="B92" s="53"/>
      <c r="C92" s="53"/>
      <c r="D92" s="53"/>
      <c r="E92" s="53"/>
    </row>
    <row r="93" customFormat="false" ht="15.75" hidden="false" customHeight="false" outlineLevel="0" collapsed="false">
      <c r="A93" s="53"/>
      <c r="B93" s="53"/>
      <c r="C93" s="53"/>
      <c r="D93" s="53"/>
      <c r="E93" s="53"/>
    </row>
  </sheetData>
  <mergeCells count="1">
    <mergeCell ref="A1:F1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V9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1484375" defaultRowHeight="12.75" zeroHeight="false" outlineLevelRow="0" outlineLevelCol="0"/>
  <cols>
    <col collapsed="false" customWidth="true" hidden="false" outlineLevel="0" max="1" min="1" style="109" width="0.57"/>
    <col collapsed="false" customWidth="true" hidden="false" outlineLevel="0" max="2" min="2" style="109" width="17.57"/>
    <col collapsed="false" customWidth="true" hidden="false" outlineLevel="0" max="3" min="3" style="109" width="7.29"/>
    <col collapsed="false" customWidth="true" hidden="false" outlineLevel="0" max="4" min="4" style="109" width="3"/>
    <col collapsed="false" customWidth="true" hidden="false" outlineLevel="0" max="5" min="5" style="109" width="17.29"/>
    <col collapsed="false" customWidth="true" hidden="false" outlineLevel="0" max="6" min="6" style="109" width="3.71"/>
    <col collapsed="false" customWidth="true" hidden="false" outlineLevel="0" max="7" min="7" style="109" width="19.14"/>
    <col collapsed="false" customWidth="true" hidden="false" outlineLevel="0" max="8" min="8" style="109" width="1.71"/>
    <col collapsed="false" customWidth="true" hidden="false" outlineLevel="0" max="9" min="9" style="109" width="12.15"/>
    <col collapsed="false" customWidth="true" hidden="false" outlineLevel="0" max="10" min="10" style="109" width="10.85"/>
    <col collapsed="false" customWidth="false" hidden="false" outlineLevel="0" max="19" min="11" style="110" width="8.71"/>
    <col collapsed="false" customWidth="false" hidden="false" outlineLevel="0" max="247" min="20" style="109" width="8.71"/>
    <col collapsed="false" customWidth="false" hidden="false" outlineLevel="0" max="16384" min="248" style="110" width="8.71"/>
  </cols>
  <sheetData>
    <row r="1" s="112" customFormat="true" ht="17.35" hidden="false" customHeight="false" outlineLevel="0" collapsed="false">
      <c r="A1" s="111" t="s">
        <v>0</v>
      </c>
      <c r="B1" s="111"/>
      <c r="C1" s="111"/>
      <c r="D1" s="111"/>
      <c r="E1" s="111"/>
      <c r="F1" s="111"/>
      <c r="G1" s="111"/>
      <c r="H1" s="111"/>
      <c r="I1" s="111"/>
      <c r="J1" s="111"/>
      <c r="K1" s="110"/>
      <c r="L1" s="110"/>
      <c r="M1" s="110"/>
      <c r="N1" s="110"/>
      <c r="O1" s="110"/>
      <c r="P1" s="110"/>
      <c r="Q1" s="110"/>
      <c r="R1" s="110"/>
      <c r="S1" s="110"/>
      <c r="IN1" s="110"/>
      <c r="IO1" s="110"/>
      <c r="IP1" s="110"/>
      <c r="IQ1" s="110"/>
      <c r="IR1" s="110"/>
      <c r="IS1" s="110"/>
      <c r="IT1" s="110"/>
      <c r="IU1" s="110"/>
      <c r="IV1" s="110"/>
    </row>
    <row r="2" s="112" customFormat="true" ht="15.75" hidden="false" customHeight="true" outlineLevel="0" collapsed="false">
      <c r="A2" s="113" t="str">
        <f aca="false">'Formulář  AKCE'!B2</f>
        <v>smlouvy č. DAG/61/03/001435/2009 o poskytnutí finančních prostředků
Příloha k vyúčtování akcí a táborů</v>
      </c>
      <c r="B2" s="113"/>
      <c r="C2" s="113"/>
      <c r="D2" s="113"/>
      <c r="E2" s="113"/>
      <c r="F2" s="113"/>
      <c r="G2" s="113"/>
      <c r="H2" s="113"/>
      <c r="I2" s="113"/>
      <c r="J2" s="113"/>
      <c r="K2" s="110"/>
      <c r="L2" s="110"/>
      <c r="M2" s="110"/>
      <c r="N2" s="110"/>
      <c r="O2" s="110"/>
      <c r="P2" s="110"/>
      <c r="Q2" s="110"/>
      <c r="R2" s="110"/>
      <c r="S2" s="110"/>
      <c r="IN2" s="110"/>
      <c r="IO2" s="110"/>
      <c r="IP2" s="110"/>
      <c r="IQ2" s="110"/>
      <c r="IR2" s="110"/>
      <c r="IS2" s="110"/>
      <c r="IT2" s="110"/>
      <c r="IU2" s="110"/>
      <c r="IV2" s="110"/>
    </row>
    <row r="3" customFormat="false" ht="12.75" hidden="false" customHeight="false" outlineLevel="0" collapsed="false">
      <c r="A3" s="114"/>
      <c r="B3" s="114"/>
      <c r="C3" s="114"/>
      <c r="D3" s="114"/>
      <c r="E3" s="114"/>
      <c r="F3" s="114"/>
      <c r="G3" s="114"/>
      <c r="H3" s="114"/>
    </row>
    <row r="4" customFormat="false" ht="12.75" hidden="false" customHeight="false" outlineLevel="0" collapsed="false">
      <c r="A4" s="114"/>
      <c r="B4" s="114"/>
      <c r="C4" s="114"/>
      <c r="D4" s="114"/>
      <c r="E4" s="114"/>
      <c r="F4" s="114"/>
      <c r="G4" s="114"/>
      <c r="H4" s="114"/>
    </row>
    <row r="5" customFormat="false" ht="9" hidden="false" customHeight="true" outlineLevel="0" collapsed="false">
      <c r="A5" s="114"/>
      <c r="B5" s="114"/>
      <c r="C5" s="114"/>
      <c r="D5" s="114"/>
      <c r="E5" s="114"/>
      <c r="F5" s="114"/>
      <c r="G5" s="114"/>
      <c r="H5" s="114"/>
    </row>
    <row r="6" customFormat="false" ht="12.75" hidden="false" customHeight="false" outlineLevel="0" collapsed="false">
      <c r="A6" s="115"/>
      <c r="B6" s="115"/>
      <c r="C6" s="115"/>
      <c r="E6" s="115"/>
      <c r="F6" s="115"/>
    </row>
    <row r="7" customFormat="false" ht="12.75" hidden="false" customHeight="false" outlineLevel="0" collapsed="false">
      <c r="A7" s="115"/>
      <c r="B7" s="116" t="s">
        <v>40</v>
      </c>
      <c r="C7" s="115"/>
      <c r="D7" s="116" t="s">
        <v>41</v>
      </c>
      <c r="E7" s="116"/>
      <c r="F7" s="114"/>
      <c r="G7" s="117" t="s">
        <v>42</v>
      </c>
      <c r="H7" s="117"/>
      <c r="I7" s="117"/>
      <c r="J7" s="117"/>
    </row>
    <row r="8" customFormat="false" ht="12.75" hidden="false" customHeight="false" outlineLevel="0" collapsed="false">
      <c r="A8" s="115"/>
      <c r="B8" s="118" t="str">
        <f aca="false">IF(ISBLANK(Seznam_do_35_účastníků!C2),IF(ISBLANK(Seznam_do_70_účastníků!C2)," ",Seznam_do_70_účastníků!C2),Seznam_do_35_účastníků!C2)</f>
        <v>Šán</v>
      </c>
      <c r="C8" s="115"/>
      <c r="D8" s="118" t="str">
        <f aca="true">IF(AND(ISNUMBER('Seznam účastníků'!B5),ISNUMBER('Seznam účastníků'!B6)),IF(ISNUMBER(VALUE(TEXT(TODAY(),"rrrr"))),TEXT('Seznam účastníků'!B5,"dd.mm.rrrr")&amp;" - "&amp;TEXT('Seznam účastníků'!B6,"dd.mm.rrrr"),TEXT('Seznam účastníků'!B5,"dd.mm.yyyy")&amp;" - "&amp;TEXT('Seznam účastníků'!B6,"dd.mm.yyyy"))," ")</f>
        <v> </v>
      </c>
      <c r="E8" s="118"/>
      <c r="F8" s="110"/>
      <c r="G8" s="119" t="n">
        <f aca="false">IF(ISBLANK(Seznam_do_35_účastníků!C6),IF(ISBLANK(Seznam_do_70_účastníků!C6)," ",Seznam_do_70_účastníků!C6),Seznam_do_35_účastníků!C6)</f>
        <v>0</v>
      </c>
      <c r="H8" s="119"/>
      <c r="I8" s="119"/>
      <c r="J8" s="119"/>
    </row>
    <row r="9" customFormat="false" ht="12.75" hidden="false" customHeight="false" outlineLevel="0" collapsed="false">
      <c r="A9" s="115"/>
      <c r="B9" s="115"/>
      <c r="C9" s="115"/>
      <c r="D9" s="115"/>
      <c r="E9" s="115"/>
    </row>
    <row r="10" customFormat="false" ht="12.75" hidden="false" customHeight="false" outlineLevel="0" collapsed="false">
      <c r="A10" s="115"/>
      <c r="B10" s="120" t="s">
        <v>128</v>
      </c>
      <c r="C10" s="121"/>
      <c r="D10" s="122" t="str">
        <f aca="false">IF(Seznam_do_35_účastníků!K45+Seznam_do_70_účastníků!D83=0," ",MAX(Seznam_do_35_účastníků!K45,Seznam_do_70_účastníků!D83))</f>
        <v> </v>
      </c>
      <c r="E10" s="115"/>
      <c r="G10" s="123" t="s">
        <v>129</v>
      </c>
      <c r="H10" s="124"/>
      <c r="I10" s="124"/>
      <c r="J10" s="122" t="n">
        <f aca="false">Seznam_do_35_účastníků!G45-Seznam_do_35_účastníků!J45</f>
        <v>0</v>
      </c>
    </row>
    <row r="11" customFormat="false" ht="12.75" hidden="false" customHeight="false" outlineLevel="0" collapsed="false">
      <c r="A11" s="115"/>
      <c r="B11" s="115"/>
      <c r="C11" s="115"/>
      <c r="D11" s="115"/>
      <c r="E11" s="115"/>
      <c r="G11" s="123" t="s">
        <v>44</v>
      </c>
      <c r="H11" s="125"/>
      <c r="I11" s="125"/>
      <c r="J11" s="122" t="str">
        <f aca="false">IF(Seznam_do_35_účastníků!D47+Seznam_do_70_účastníků!D82=0," ",MAX(Seznam_do_35_účastníků!D47,Seznam_do_70_účastníků!D82))</f>
        <v> </v>
      </c>
    </row>
    <row r="12" customFormat="false" ht="12.75" hidden="false" customHeight="false" outlineLevel="0" collapsed="false">
      <c r="A12" s="110"/>
      <c r="B12" s="110"/>
      <c r="C12" s="110"/>
      <c r="D12" s="110"/>
      <c r="E12" s="110"/>
      <c r="F12" s="110"/>
      <c r="G12" s="110"/>
      <c r="H12" s="110"/>
      <c r="I12" s="110"/>
      <c r="J12" s="110"/>
    </row>
    <row r="13" customFormat="false" ht="15" hidden="false" customHeight="false" outlineLevel="0" collapsed="false">
      <c r="A13" s="126" t="s">
        <v>130</v>
      </c>
      <c r="B13" s="126"/>
      <c r="C13" s="126"/>
      <c r="D13" s="126"/>
      <c r="E13" s="126"/>
      <c r="F13" s="126"/>
      <c r="G13" s="126"/>
      <c r="H13" s="126"/>
      <c r="I13" s="126"/>
      <c r="J13" s="126"/>
    </row>
    <row r="14" customFormat="false" ht="12.75" hidden="false" customHeight="false" outlineLevel="0" collapsed="false">
      <c r="A14" s="115"/>
      <c r="B14" s="127"/>
      <c r="C14" s="127"/>
      <c r="D14" s="127"/>
      <c r="E14" s="127"/>
      <c r="F14" s="127"/>
      <c r="G14" s="127"/>
      <c r="H14" s="127"/>
      <c r="I14" s="127"/>
      <c r="J14" s="127"/>
    </row>
    <row r="15" customFormat="false" ht="16.5" hidden="false" customHeight="true" outlineLevel="0" collapsed="false">
      <c r="A15" s="115"/>
      <c r="B15" s="128" t="s">
        <v>131</v>
      </c>
      <c r="C15" s="128"/>
      <c r="D15" s="128"/>
      <c r="E15" s="128"/>
      <c r="F15" s="128"/>
      <c r="G15" s="129" t="s">
        <v>132</v>
      </c>
      <c r="H15" s="129" t="s">
        <v>133</v>
      </c>
      <c r="I15" s="129"/>
      <c r="J15" s="130"/>
    </row>
    <row r="16" customFormat="false" ht="16.5" hidden="false" customHeight="true" outlineLevel="0" collapsed="false">
      <c r="A16" s="115"/>
      <c r="B16" s="131" t="s">
        <v>134</v>
      </c>
      <c r="C16" s="131"/>
      <c r="D16" s="131"/>
      <c r="E16" s="131"/>
      <c r="F16" s="131"/>
      <c r="G16" s="132" t="n">
        <f aca="false">'Přehled o vybraných poplatcích'!E49</f>
        <v>0</v>
      </c>
      <c r="H16" s="133"/>
      <c r="I16" s="133"/>
      <c r="J16" s="130"/>
    </row>
    <row r="17" customFormat="false" ht="16.5" hidden="false" customHeight="true" outlineLevel="0" collapsed="false">
      <c r="A17" s="115"/>
      <c r="B17" s="131" t="s">
        <v>135</v>
      </c>
      <c r="C17" s="131"/>
      <c r="D17" s="131"/>
      <c r="E17" s="131"/>
      <c r="F17" s="131"/>
      <c r="G17" s="134" t="n">
        <v>0</v>
      </c>
      <c r="H17" s="133" t="n">
        <v>1000</v>
      </c>
      <c r="I17" s="133"/>
      <c r="J17" s="130"/>
    </row>
    <row r="18" customFormat="false" ht="16.5" hidden="false" customHeight="true" outlineLevel="0" collapsed="false">
      <c r="A18" s="115"/>
      <c r="B18" s="131" t="s">
        <v>136</v>
      </c>
      <c r="C18" s="131"/>
      <c r="D18" s="131"/>
      <c r="E18" s="131"/>
      <c r="F18" s="131"/>
      <c r="G18" s="134" t="n">
        <v>62</v>
      </c>
      <c r="H18" s="135"/>
      <c r="I18" s="135"/>
      <c r="J18" s="130"/>
    </row>
    <row r="19" customFormat="false" ht="16.5" hidden="false" customHeight="true" outlineLevel="0" collapsed="false">
      <c r="A19" s="115"/>
      <c r="B19" s="131" t="s">
        <v>137</v>
      </c>
      <c r="C19" s="131"/>
      <c r="D19" s="131"/>
      <c r="E19" s="131"/>
      <c r="F19" s="131"/>
      <c r="G19" s="132" t="n">
        <f aca="false">SUM(G16:G18)</f>
        <v>62</v>
      </c>
      <c r="H19" s="136" t="n">
        <f aca="false">SUM(H17:I18)</f>
        <v>1000</v>
      </c>
      <c r="I19" s="136"/>
      <c r="J19" s="137" t="n">
        <f aca="false">G19+H19</f>
        <v>1062</v>
      </c>
    </row>
    <row r="20" customFormat="false" ht="16.5" hidden="false" customHeight="true" outlineLevel="0" collapsed="false">
      <c r="A20" s="115"/>
      <c r="B20" s="138"/>
      <c r="C20" s="139"/>
      <c r="D20" s="139"/>
      <c r="E20" s="139"/>
      <c r="F20" s="130"/>
      <c r="G20" s="130"/>
      <c r="H20" s="130"/>
      <c r="I20" s="130"/>
      <c r="J20" s="130"/>
    </row>
    <row r="21" customFormat="false" ht="16.5" hidden="false" customHeight="true" outlineLevel="0" collapsed="false">
      <c r="A21" s="115"/>
      <c r="B21" s="128" t="s">
        <v>138</v>
      </c>
      <c r="C21" s="128"/>
      <c r="D21" s="128"/>
      <c r="E21" s="128"/>
      <c r="F21" s="128"/>
      <c r="G21" s="140" t="s">
        <v>132</v>
      </c>
      <c r="H21" s="129" t="s">
        <v>139</v>
      </c>
      <c r="I21" s="129"/>
      <c r="J21" s="130"/>
    </row>
    <row r="22" customFormat="false" ht="16.5" hidden="false" customHeight="true" outlineLevel="0" collapsed="false">
      <c r="A22" s="115"/>
      <c r="B22" s="141" t="s">
        <v>140</v>
      </c>
      <c r="C22" s="141"/>
      <c r="D22" s="141"/>
      <c r="E22" s="141"/>
      <c r="F22" s="141"/>
      <c r="G22" s="134" t="n">
        <v>1000</v>
      </c>
      <c r="H22" s="142"/>
      <c r="I22" s="142"/>
      <c r="J22" s="130"/>
    </row>
    <row r="23" customFormat="false" ht="16.5" hidden="false" customHeight="true" outlineLevel="0" collapsed="false">
      <c r="A23" s="115"/>
      <c r="B23" s="141" t="s">
        <v>141</v>
      </c>
      <c r="C23" s="141"/>
      <c r="D23" s="141"/>
      <c r="E23" s="141"/>
      <c r="F23" s="141"/>
      <c r="G23" s="134" t="n">
        <v>100</v>
      </c>
      <c r="H23" s="142"/>
      <c r="I23" s="142"/>
      <c r="J23" s="130"/>
    </row>
    <row r="24" customFormat="false" ht="16.5" hidden="false" customHeight="true" outlineLevel="0" collapsed="false">
      <c r="A24" s="115"/>
      <c r="B24" s="141" t="s">
        <v>142</v>
      </c>
      <c r="C24" s="141"/>
      <c r="D24" s="141"/>
      <c r="E24" s="141"/>
      <c r="F24" s="141"/>
      <c r="G24" s="134" t="n">
        <v>1840</v>
      </c>
      <c r="H24" s="142"/>
      <c r="I24" s="142"/>
      <c r="J24" s="130"/>
    </row>
    <row r="25" customFormat="false" ht="16.5" hidden="false" customHeight="true" outlineLevel="0" collapsed="false">
      <c r="A25" s="115"/>
      <c r="B25" s="141" t="s">
        <v>143</v>
      </c>
      <c r="C25" s="141"/>
      <c r="D25" s="141"/>
      <c r="E25" s="141"/>
      <c r="F25" s="141"/>
      <c r="G25" s="134" t="n">
        <v>202</v>
      </c>
      <c r="H25" s="142"/>
      <c r="I25" s="142"/>
      <c r="J25" s="130"/>
    </row>
    <row r="26" customFormat="false" ht="16.5" hidden="false" customHeight="true" outlineLevel="0" collapsed="false">
      <c r="A26" s="115"/>
      <c r="B26" s="141" t="s">
        <v>144</v>
      </c>
      <c r="C26" s="141"/>
      <c r="D26" s="141"/>
      <c r="E26" s="141"/>
      <c r="F26" s="141"/>
      <c r="G26" s="134"/>
      <c r="H26" s="142"/>
      <c r="I26" s="142"/>
      <c r="J26" s="130"/>
    </row>
    <row r="27" customFormat="false" ht="16.5" hidden="false" customHeight="true" outlineLevel="0" collapsed="false">
      <c r="A27" s="115"/>
      <c r="B27" s="141" t="s">
        <v>145</v>
      </c>
      <c r="C27" s="141"/>
      <c r="D27" s="141"/>
      <c r="E27" s="141"/>
      <c r="F27" s="141"/>
      <c r="G27" s="132" t="n">
        <f aca="false">SUM(G22:G26)</f>
        <v>3142</v>
      </c>
      <c r="H27" s="143" t="n">
        <f aca="false">SUM(I22:I26)</f>
        <v>0</v>
      </c>
      <c r="I27" s="143"/>
      <c r="J27" s="144" t="n">
        <f aca="false">G27+H27</f>
        <v>3142</v>
      </c>
    </row>
    <row r="28" customFormat="false" ht="16.5" hidden="false" customHeight="true" outlineLevel="0" collapsed="false">
      <c r="A28" s="115"/>
      <c r="B28" s="145"/>
      <c r="C28" s="146"/>
      <c r="D28" s="146"/>
      <c r="E28" s="146"/>
      <c r="F28" s="146"/>
      <c r="G28" s="147"/>
      <c r="H28" s="146"/>
      <c r="I28" s="146"/>
      <c r="J28" s="146"/>
    </row>
    <row r="29" customFormat="false" ht="16.5" hidden="false" customHeight="true" outlineLevel="0" collapsed="false">
      <c r="A29" s="115"/>
      <c r="B29" s="145"/>
      <c r="C29" s="146"/>
      <c r="D29" s="146"/>
      <c r="E29" s="146"/>
      <c r="F29" s="146"/>
      <c r="G29" s="147"/>
      <c r="H29" s="146"/>
      <c r="I29" s="146"/>
      <c r="J29" s="146"/>
    </row>
    <row r="30" customFormat="false" ht="16.5" hidden="false" customHeight="true" outlineLevel="0" collapsed="false">
      <c r="A30" s="115"/>
      <c r="B30" s="146"/>
      <c r="C30" s="148"/>
      <c r="D30" s="148"/>
      <c r="E30" s="148"/>
      <c r="F30" s="148"/>
      <c r="G30" s="148"/>
      <c r="H30" s="148"/>
      <c r="I30" s="148"/>
      <c r="J30" s="130"/>
    </row>
    <row r="31" customFormat="false" ht="16.5" hidden="false" customHeight="true" outlineLevel="0" collapsed="false">
      <c r="A31" s="115"/>
      <c r="B31" s="148"/>
      <c r="C31" s="148"/>
      <c r="D31" s="148"/>
      <c r="E31" s="148"/>
      <c r="F31" s="148"/>
      <c r="G31" s="148"/>
      <c r="H31" s="148"/>
      <c r="I31" s="148"/>
      <c r="J31" s="130"/>
    </row>
    <row r="32" customFormat="false" ht="16.5" hidden="false" customHeight="true" outlineLevel="0" collapsed="false">
      <c r="A32" s="115"/>
      <c r="B32" s="148" t="s">
        <v>146</v>
      </c>
      <c r="C32" s="146"/>
      <c r="D32" s="148"/>
      <c r="E32" s="148" t="s">
        <v>147</v>
      </c>
      <c r="F32" s="130"/>
      <c r="G32" s="148" t="s">
        <v>148</v>
      </c>
      <c r="H32" s="130" t="s">
        <v>149</v>
      </c>
      <c r="I32" s="110"/>
      <c r="J32" s="110"/>
    </row>
    <row r="33" customFormat="false" ht="16.5" hidden="false" customHeight="true" outlineLevel="0" collapsed="false">
      <c r="A33" s="115"/>
      <c r="B33" s="146"/>
      <c r="C33" s="146"/>
      <c r="D33" s="146"/>
      <c r="E33" s="146"/>
      <c r="F33" s="146"/>
      <c r="G33" s="146"/>
      <c r="H33" s="146"/>
      <c r="I33" s="146"/>
      <c r="J33" s="146"/>
    </row>
    <row r="34" customFormat="false" ht="16.5" hidden="false" customHeight="true" outlineLevel="0" collapsed="false">
      <c r="A34" s="115"/>
      <c r="B34" s="146"/>
      <c r="C34" s="146"/>
      <c r="D34" s="146"/>
      <c r="E34" s="146"/>
      <c r="F34" s="146"/>
      <c r="G34" s="146"/>
      <c r="H34" s="146"/>
      <c r="I34" s="146"/>
      <c r="J34" s="146"/>
    </row>
    <row r="35" customFormat="false" ht="16.5" hidden="false" customHeight="true" outlineLevel="0" collapsed="false">
      <c r="A35" s="115"/>
      <c r="B35" s="146" t="s">
        <v>150</v>
      </c>
      <c r="C35" s="146" t="s">
        <v>151</v>
      </c>
      <c r="D35" s="146"/>
      <c r="E35" s="146"/>
      <c r="F35" s="146"/>
      <c r="G35" s="146"/>
      <c r="H35" s="146"/>
      <c r="I35" s="146"/>
      <c r="J35" s="146"/>
    </row>
    <row r="36" customFormat="false" ht="16.5" hidden="false" customHeight="true" outlineLevel="0" collapsed="false">
      <c r="A36" s="115"/>
      <c r="B36" s="146"/>
      <c r="C36" s="146" t="s">
        <v>152</v>
      </c>
      <c r="D36" s="146"/>
      <c r="E36" s="146"/>
      <c r="F36" s="146"/>
      <c r="G36" s="146"/>
      <c r="H36" s="146"/>
      <c r="I36" s="146"/>
      <c r="J36" s="146"/>
    </row>
    <row r="37" customFormat="false" ht="16.5" hidden="false" customHeight="true" outlineLevel="0" collapsed="false">
      <c r="A37" s="115"/>
      <c r="B37" s="110"/>
      <c r="C37" s="110"/>
      <c r="D37" s="110"/>
      <c r="E37" s="110"/>
      <c r="F37" s="110"/>
      <c r="G37" s="110"/>
      <c r="H37" s="110"/>
      <c r="I37" s="110"/>
      <c r="J37" s="110"/>
    </row>
    <row r="38" customFormat="false" ht="16.5" hidden="false" customHeight="true" outlineLevel="0" collapsed="false">
      <c r="A38" s="115"/>
      <c r="B38" s="110"/>
      <c r="C38" s="110"/>
      <c r="D38" s="110"/>
      <c r="E38" s="110"/>
      <c r="F38" s="110"/>
      <c r="G38" s="110"/>
      <c r="H38" s="110"/>
      <c r="I38" s="110"/>
      <c r="J38" s="110"/>
    </row>
    <row r="39" customFormat="false" ht="16.5" hidden="false" customHeight="true" outlineLevel="0" collapsed="false">
      <c r="A39" s="115"/>
      <c r="B39" s="110"/>
      <c r="C39" s="110"/>
      <c r="D39" s="110"/>
      <c r="E39" s="110"/>
      <c r="F39" s="110"/>
      <c r="G39" s="110"/>
      <c r="H39" s="110"/>
      <c r="I39" s="110"/>
      <c r="J39" s="110"/>
    </row>
    <row r="40" customFormat="false" ht="18" hidden="false" customHeight="true" outlineLevel="0" collapsed="false">
      <c r="A40" s="115"/>
      <c r="B40" s="110"/>
      <c r="C40" s="110"/>
      <c r="D40" s="110"/>
      <c r="E40" s="110"/>
      <c r="F40" s="110"/>
      <c r="G40" s="110"/>
      <c r="H40" s="110"/>
      <c r="I40" s="110"/>
      <c r="J40" s="110"/>
    </row>
    <row r="41" customFormat="false" ht="17.25" hidden="false" customHeight="true" outlineLevel="0" collapsed="false">
      <c r="B41" s="110"/>
      <c r="C41" s="110"/>
      <c r="D41" s="110"/>
      <c r="E41" s="110"/>
      <c r="F41" s="110"/>
      <c r="G41" s="110"/>
      <c r="H41" s="110"/>
      <c r="I41" s="149" t="str">
        <f aca="false">"V1©16/9/2009 Hop"</f>
        <v>V1©16/9/2009 Hop</v>
      </c>
      <c r="J41" s="110"/>
    </row>
    <row r="42" customFormat="false" ht="15.75" hidden="false" customHeight="false" outlineLevel="0" collapsed="false">
      <c r="A42" s="150"/>
      <c r="B42" s="110"/>
      <c r="C42" s="110"/>
      <c r="D42" s="110"/>
      <c r="E42" s="110"/>
      <c r="F42" s="110"/>
      <c r="G42" s="110"/>
      <c r="H42" s="110"/>
      <c r="I42" s="110"/>
      <c r="J42" s="110"/>
    </row>
    <row r="43" s="110" customFormat="true" ht="12.75" hidden="false" customHeight="false" outlineLevel="0" collapsed="false"/>
    <row r="44" s="110" customFormat="true" ht="12.75" hidden="false" customHeight="false" outlineLevel="0" collapsed="false"/>
    <row r="45" s="110" customFormat="true" ht="12.75" hidden="false" customHeight="false" outlineLevel="0" collapsed="false"/>
    <row r="46" s="110" customFormat="true" ht="12.75" hidden="false" customHeight="false" outlineLevel="0" collapsed="false"/>
    <row r="47" s="110" customFormat="true" ht="12.75" hidden="false" customHeight="false" outlineLevel="0" collapsed="false"/>
    <row r="48" s="110" customFormat="true" ht="12.75" hidden="false" customHeight="false" outlineLevel="0" collapsed="false"/>
    <row r="49" s="110" customFormat="true" ht="12.75" hidden="false" customHeight="false" outlineLevel="0" collapsed="false"/>
    <row r="50" s="110" customFormat="true" ht="12.75" hidden="false" customHeight="false" outlineLevel="0" collapsed="false"/>
    <row r="51" s="110" customFormat="true" ht="12.75" hidden="false" customHeight="false" outlineLevel="0" collapsed="false"/>
    <row r="52" s="110" customFormat="true" ht="12.75" hidden="false" customHeight="false" outlineLevel="0" collapsed="false"/>
    <row r="53" s="110" customFormat="true" ht="12.75" hidden="false" customHeight="false" outlineLevel="0" collapsed="false"/>
    <row r="54" s="110" customFormat="true" ht="12.75" hidden="false" customHeight="false" outlineLevel="0" collapsed="false"/>
    <row r="55" s="110" customFormat="true" ht="12.75" hidden="false" customHeight="false" outlineLevel="0" collapsed="false"/>
    <row r="56" s="110" customFormat="true" ht="12.75" hidden="false" customHeight="false" outlineLevel="0" collapsed="false"/>
    <row r="57" s="110" customFormat="true" ht="12.75" hidden="false" customHeight="false" outlineLevel="0" collapsed="false"/>
    <row r="58" s="110" customFormat="true" ht="12.75" hidden="false" customHeight="false" outlineLevel="0" collapsed="false"/>
    <row r="59" s="110" customFormat="true" ht="12.75" hidden="false" customHeight="false" outlineLevel="0" collapsed="false"/>
    <row r="60" s="110" customFormat="true" ht="12.75" hidden="false" customHeight="false" outlineLevel="0" collapsed="false"/>
    <row r="61" s="110" customFormat="true" ht="12.75" hidden="false" customHeight="false" outlineLevel="0" collapsed="false"/>
    <row r="62" s="110" customFormat="true" ht="12.75" hidden="false" customHeight="false" outlineLevel="0" collapsed="false"/>
    <row r="63" s="110" customFormat="true" ht="12.75" hidden="false" customHeight="false" outlineLevel="0" collapsed="false"/>
    <row r="64" s="110" customFormat="true" ht="12.75" hidden="false" customHeight="false" outlineLevel="0" collapsed="false"/>
    <row r="65" s="110" customFormat="true" ht="12.75" hidden="false" customHeight="false" outlineLevel="0" collapsed="false"/>
    <row r="66" s="110" customFormat="true" ht="12.75" hidden="false" customHeight="false" outlineLevel="0" collapsed="false"/>
    <row r="67" s="110" customFormat="true" ht="12.75" hidden="false" customHeight="false" outlineLevel="0" collapsed="false"/>
    <row r="68" s="110" customFormat="true" ht="12.75" hidden="false" customHeight="false" outlineLevel="0" collapsed="false"/>
    <row r="69" s="110" customFormat="true" ht="12.75" hidden="false" customHeight="false" outlineLevel="0" collapsed="false"/>
    <row r="70" s="110" customFormat="true" ht="12.75" hidden="false" customHeight="false" outlineLevel="0" collapsed="false"/>
    <row r="71" s="110" customFormat="true" ht="12.75" hidden="false" customHeight="false" outlineLevel="0" collapsed="false"/>
    <row r="72" s="110" customFormat="true" ht="12.75" hidden="false" customHeight="false" outlineLevel="0" collapsed="false"/>
    <row r="73" s="110" customFormat="true" ht="12.75" hidden="false" customHeight="false" outlineLevel="0" collapsed="false"/>
    <row r="74" s="110" customFormat="true" ht="12.75" hidden="false" customHeight="false" outlineLevel="0" collapsed="false"/>
    <row r="75" s="110" customFormat="true" ht="12.75" hidden="false" customHeight="false" outlineLevel="0" collapsed="false"/>
    <row r="76" s="110" customFormat="true" ht="12.75" hidden="false" customHeight="false" outlineLevel="0" collapsed="false"/>
    <row r="77" s="110" customFormat="true" ht="12.75" hidden="false" customHeight="false" outlineLevel="0" collapsed="false"/>
    <row r="78" s="110" customFormat="true" ht="12.75" hidden="false" customHeight="false" outlineLevel="0" collapsed="false"/>
    <row r="79" s="110" customFormat="true" ht="12.75" hidden="false" customHeight="false" outlineLevel="0" collapsed="false"/>
    <row r="80" s="110" customFormat="true" ht="12.75" hidden="false" customHeight="false" outlineLevel="0" collapsed="false"/>
    <row r="81" s="110" customFormat="true" ht="12.75" hidden="false" customHeight="false" outlineLevel="0" collapsed="false"/>
    <row r="82" s="110" customFormat="true" ht="12.75" hidden="false" customHeight="false" outlineLevel="0" collapsed="false"/>
    <row r="83" s="110" customFormat="true" ht="12.75" hidden="false" customHeight="false" outlineLevel="0" collapsed="false"/>
    <row r="84" s="110" customFormat="true" ht="12.75" hidden="false" customHeight="false" outlineLevel="0" collapsed="false"/>
    <row r="85" s="110" customFormat="true" ht="12.75" hidden="false" customHeight="false" outlineLevel="0" collapsed="false"/>
    <row r="86" s="110" customFormat="true" ht="12.75" hidden="false" customHeight="false" outlineLevel="0" collapsed="false"/>
    <row r="87" s="110" customFormat="true" ht="12.75" hidden="false" customHeight="false" outlineLevel="0" collapsed="false"/>
    <row r="88" s="110" customFormat="true" ht="12.75" hidden="false" customHeight="false" outlineLevel="0" collapsed="false"/>
    <row r="89" s="110" customFormat="true" ht="12.75" hidden="false" customHeight="false" outlineLevel="0" collapsed="false"/>
    <row r="90" s="110" customFormat="true" ht="12.75" hidden="false" customHeight="false" outlineLevel="0" collapsed="false"/>
    <row r="91" s="110" customFormat="true" ht="12.75" hidden="false" customHeight="false" outlineLevel="0" collapsed="false"/>
    <row r="92" s="110" customFormat="true" ht="12.75" hidden="false" customHeight="false" outlineLevel="0" collapsed="false"/>
    <row r="93" s="110" customFormat="true" ht="12.75" hidden="false" customHeight="false" outlineLevel="0" collapsed="false"/>
    <row r="94" s="110" customFormat="true" ht="12.75" hidden="false" customHeight="false" outlineLevel="0" collapsed="false"/>
    <row r="95" s="110" customFormat="true" ht="12.75" hidden="false" customHeight="false" outlineLevel="0" collapsed="false"/>
    <row r="96" s="110" customFormat="true" ht="12.75" hidden="false" customHeight="false" outlineLevel="0" collapsed="false"/>
    <row r="97" s="110" customFormat="true" ht="12.75" hidden="false" customHeight="false" outlineLevel="0" collapsed="false"/>
    <row r="98" s="110" customFormat="true" ht="12.75" hidden="false" customHeight="false" outlineLevel="0" collapsed="false"/>
    <row r="99" s="110" customFormat="true" ht="12.75" hidden="false" customHeight="false" outlineLevel="0" collapsed="false"/>
  </sheetData>
  <sheetProtection sheet="true" objects="true" scenarios="true"/>
  <mergeCells count="31">
    <mergeCell ref="A1:J1"/>
    <mergeCell ref="A2:J2"/>
    <mergeCell ref="D7:E7"/>
    <mergeCell ref="G7:J7"/>
    <mergeCell ref="D8:E8"/>
    <mergeCell ref="G8:J8"/>
    <mergeCell ref="A13:J13"/>
    <mergeCell ref="B15:F15"/>
    <mergeCell ref="H15:I15"/>
    <mergeCell ref="B16:F16"/>
    <mergeCell ref="H16:I16"/>
    <mergeCell ref="B17:F17"/>
    <mergeCell ref="H17:I17"/>
    <mergeCell ref="B18:F18"/>
    <mergeCell ref="H18:I18"/>
    <mergeCell ref="B19:F19"/>
    <mergeCell ref="H19:I19"/>
    <mergeCell ref="B21:F21"/>
    <mergeCell ref="H21:I21"/>
    <mergeCell ref="B22:F22"/>
    <mergeCell ref="H22:I22"/>
    <mergeCell ref="B23:F23"/>
    <mergeCell ref="H23:I23"/>
    <mergeCell ref="B24:F24"/>
    <mergeCell ref="H24:I24"/>
    <mergeCell ref="B25:F25"/>
    <mergeCell ref="H25:I25"/>
    <mergeCell ref="B26:F26"/>
    <mergeCell ref="H26:I26"/>
    <mergeCell ref="B27:F27"/>
    <mergeCell ref="H27:I27"/>
  </mergeCells>
  <printOptions headings="false" gridLines="false" gridLinesSet="true" horizontalCentered="false" verticalCentered="false"/>
  <pageMargins left="0.559722222222222" right="0.509722222222222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43"/>
  <sheetViews>
    <sheetView showFormulas="false" showGridLines="true" showRowColHeaders="true" showZeros="true" rightToLeft="false" tabSelected="false" showOutlineSymbols="true" defaultGridColor="true" view="normal" topLeftCell="A21" colorId="64" zoomScale="100" zoomScaleNormal="100" zoomScalePageLayoutView="100" workbookViewId="0">
      <selection pane="topLeft" activeCell="A21" activeCellId="0" sqref="A21"/>
    </sheetView>
  </sheetViews>
  <sheetFormatPr defaultColWidth="8.71484375" defaultRowHeight="12.75" zeroHeight="false" outlineLevelRow="0" outlineLevelCol="0"/>
  <cols>
    <col collapsed="false" customWidth="true" hidden="false" outlineLevel="0" max="1" min="1" style="151" width="3.15"/>
    <col collapsed="false" customWidth="true" hidden="false" outlineLevel="0" max="2" min="2" style="151" width="11"/>
    <col collapsed="false" customWidth="true" hidden="false" outlineLevel="0" max="3" min="3" style="151" width="10.57"/>
    <col collapsed="false" customWidth="true" hidden="false" outlineLevel="0" max="4" min="4" style="151" width="1.42"/>
    <col collapsed="false" customWidth="true" hidden="false" outlineLevel="0" max="5" min="5" style="151" width="19.29"/>
    <col collapsed="false" customWidth="true" hidden="false" outlineLevel="0" max="6" min="6" style="151" width="5.71"/>
    <col collapsed="false" customWidth="false" hidden="false" outlineLevel="0" max="7" min="7" style="151" width="8.71"/>
    <col collapsed="false" customWidth="true" hidden="false" outlineLevel="0" max="8" min="8" style="151" width="1.71"/>
    <col collapsed="false" customWidth="false" hidden="false" outlineLevel="0" max="16384" min="9" style="151" width="8.71"/>
  </cols>
  <sheetData>
    <row r="1" customFormat="false" ht="19.7" hidden="false" customHeight="false" outlineLevel="0" collapsed="false">
      <c r="A1" s="152" t="s">
        <v>153</v>
      </c>
      <c r="B1" s="152"/>
      <c r="C1" s="152"/>
      <c r="D1" s="152"/>
      <c r="E1" s="152"/>
      <c r="F1" s="152"/>
      <c r="G1" s="152"/>
      <c r="H1" s="152"/>
      <c r="I1" s="152"/>
      <c r="J1" s="152"/>
    </row>
    <row r="15" customFormat="false" ht="12.75" hidden="false" customHeight="false" outlineLevel="0" collapsed="false">
      <c r="A15" s="153"/>
    </row>
    <row r="16" customFormat="false" ht="12.75" hidden="false" customHeight="false" outlineLevel="0" collapsed="false">
      <c r="A16" s="153"/>
    </row>
    <row r="17" customFormat="false" ht="12.75" hidden="false" customHeight="false" outlineLevel="0" collapsed="false">
      <c r="A17" s="153"/>
    </row>
    <row r="18" customFormat="false" ht="12.75" hidden="false" customHeight="false" outlineLevel="0" collapsed="false">
      <c r="A18" s="153"/>
    </row>
    <row r="19" customFormat="false" ht="12.75" hidden="false" customHeight="false" outlineLevel="0" collapsed="false">
      <c r="A19" s="153"/>
    </row>
    <row r="20" customFormat="false" ht="12.75" hidden="false" customHeight="false" outlineLevel="0" collapsed="false">
      <c r="A20" s="153"/>
    </row>
    <row r="21" customFormat="false" ht="12.75" hidden="false" customHeight="false" outlineLevel="0" collapsed="false">
      <c r="A21" s="153"/>
    </row>
    <row r="22" customFormat="false" ht="12.75" hidden="false" customHeight="false" outlineLevel="0" collapsed="false">
      <c r="A22" s="153"/>
      <c r="D22" s="154"/>
    </row>
    <row r="29" customFormat="false" ht="12.75" hidden="false" customHeight="false" outlineLevel="0" collapsed="false">
      <c r="B29" s="151" t="s">
        <v>154</v>
      </c>
    </row>
    <row r="30" customFormat="false" ht="12.75" hidden="false" customHeight="false" outlineLevel="0" collapsed="false">
      <c r="B30" s="151" t="s">
        <v>155</v>
      </c>
    </row>
    <row r="31" customFormat="false" ht="12.75" hidden="false" customHeight="false" outlineLevel="0" collapsed="false">
      <c r="B31" s="155" t="s">
        <v>156</v>
      </c>
    </row>
    <row r="32" customFormat="false" ht="12.75" hidden="false" customHeight="false" outlineLevel="0" collapsed="false">
      <c r="B32" s="151" t="s">
        <v>157</v>
      </c>
    </row>
    <row r="35" customFormat="false" ht="12.75" hidden="false" customHeight="false" outlineLevel="0" collapsed="false">
      <c r="B35" s="151" t="s">
        <v>158</v>
      </c>
    </row>
    <row r="36" customFormat="false" ht="12.75" hidden="false" customHeight="false" outlineLevel="0" collapsed="false">
      <c r="B36" s="151" t="s">
        <v>159</v>
      </c>
    </row>
    <row r="37" customFormat="false" ht="12.75" hidden="false" customHeight="false" outlineLevel="0" collapsed="false">
      <c r="B37" s="151" t="s">
        <v>160</v>
      </c>
    </row>
    <row r="39" customFormat="false" ht="12.75" hidden="false" customHeight="false" outlineLevel="0" collapsed="false">
      <c r="K39" s="156" t="s">
        <v>161</v>
      </c>
    </row>
    <row r="43" customFormat="false" ht="12.75" hidden="false" customHeight="false" outlineLevel="0" collapsed="false">
      <c r="B43" s="157" t="n">
        <v>36861</v>
      </c>
    </row>
  </sheetData>
  <mergeCells count="1">
    <mergeCell ref="A1:J1"/>
  </mergeCells>
  <printOptions headings="false" gridLines="false" gridLinesSet="true" horizontalCentered="true" verticalCentered="false"/>
  <pageMargins left="0.747916666666667" right="0.429861111111111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7" activeCellId="0" sqref="C17"/>
    </sheetView>
  </sheetViews>
  <sheetFormatPr defaultColWidth="11.5703125" defaultRowHeight="12.75" zeroHeight="false" outlineLevelRow="0" outlineLevelCol="0"/>
  <cols>
    <col collapsed="false" customWidth="true" hidden="false" outlineLevel="0" max="1" min="1" style="41" width="23.42"/>
    <col collapsed="false" customWidth="false" hidden="false" outlineLevel="0" max="2" min="2" style="41" width="11.57"/>
    <col collapsed="false" customWidth="true" hidden="false" outlineLevel="0" max="3" min="3" style="41" width="12.71"/>
    <col collapsed="false" customWidth="true" hidden="false" outlineLevel="0" max="4" min="4" style="41" width="10.42"/>
    <col collapsed="false" customWidth="true" hidden="false" outlineLevel="0" max="5" min="5" style="41" width="24.42"/>
    <col collapsed="false" customWidth="false" hidden="false" outlineLevel="0" max="16384" min="6" style="41" width="11.57"/>
  </cols>
  <sheetData>
    <row r="1" customFormat="false" ht="19.7" hidden="false" customHeight="false" outlineLevel="0" collapsed="false">
      <c r="A1" s="158" t="s">
        <v>162</v>
      </c>
      <c r="B1" s="158"/>
      <c r="C1" s="158"/>
      <c r="D1" s="158"/>
      <c r="E1" s="158"/>
    </row>
    <row r="2" customFormat="false" ht="15" hidden="false" customHeight="true" outlineLevel="0" collapsed="false">
      <c r="A2" s="159" t="s">
        <v>163</v>
      </c>
      <c r="B2" s="160" t="n">
        <f aca="false">IF(ISBLANK(Seznam_do_35_účastníků!C6)," ",Seznam_do_35_účastníků!C6)</f>
        <v>0</v>
      </c>
      <c r="C2" s="160"/>
      <c r="D2" s="160"/>
      <c r="E2" s="160"/>
    </row>
    <row r="3" customFormat="false" ht="15" hidden="false" customHeight="false" outlineLevel="0" collapsed="false">
      <c r="A3" s="161" t="s">
        <v>164</v>
      </c>
      <c r="B3" s="160" t="str">
        <f aca="false">IF(ISBLANK(Seznam_do_35_účastníků!C2)," ",Seznam_do_35_účastníků!C2)</f>
        <v>Šán</v>
      </c>
      <c r="C3" s="160"/>
      <c r="D3" s="160"/>
      <c r="E3" s="160"/>
    </row>
    <row r="4" customFormat="false" ht="15" hidden="false" customHeight="false" outlineLevel="0" collapsed="false">
      <c r="A4" s="161" t="s">
        <v>165</v>
      </c>
      <c r="B4" s="162" t="str">
        <f aca="true">IF(AND(ISNUMBER('Seznam účastníků'!B5),ISNUMBER('Seznam účastníků'!B6)),IF(ISNUMBER(VALUE(TEXT(TODAY(),"rrrr"))),TEXT('Seznam účastníků'!B5,"dd.mm.rrrr")&amp;" - "&amp;TEXT('Seznam účastníků'!B6,"dd.mm.rrrr"),TEXT('Seznam účastníků'!B5,"dd.mm.yyyy")&amp;" - "&amp;TEXT('Seznam účastníků'!B6,"dd.mm.yyyy"))," ")</f>
        <v> </v>
      </c>
      <c r="C4" s="162"/>
      <c r="D4" s="162"/>
      <c r="E4" s="162"/>
    </row>
    <row r="5" customFormat="false" ht="17.35" hidden="false" customHeight="false" outlineLevel="0" collapsed="false">
      <c r="A5" s="163"/>
      <c r="B5" s="164" t="s">
        <v>166</v>
      </c>
      <c r="C5" s="164"/>
      <c r="D5" s="164"/>
      <c r="E5" s="165" t="s">
        <v>167</v>
      </c>
    </row>
    <row r="6" customFormat="false" ht="15" hidden="false" customHeight="false" outlineLevel="0" collapsed="false">
      <c r="A6" s="166" t="s">
        <v>168</v>
      </c>
      <c r="B6" s="167" t="s">
        <v>169</v>
      </c>
      <c r="C6" s="167" t="s">
        <v>170</v>
      </c>
      <c r="D6" s="167" t="s">
        <v>53</v>
      </c>
      <c r="E6" s="168"/>
    </row>
    <row r="7" customFormat="false" ht="15" hidden="false" customHeight="false" outlineLevel="0" collapsed="false">
      <c r="A7" s="169" t="s">
        <v>171</v>
      </c>
      <c r="B7" s="170" t="n">
        <f aca="false">'Přehled o vybraných poplatcích'!E49</f>
        <v>0</v>
      </c>
      <c r="C7" s="171" t="n">
        <v>0</v>
      </c>
      <c r="D7" s="170" t="n">
        <f aca="false">B7+C7</f>
        <v>0</v>
      </c>
      <c r="E7" s="172"/>
    </row>
    <row r="8" customFormat="false" ht="15" hidden="false" customHeight="false" outlineLevel="0" collapsed="false">
      <c r="A8" s="173" t="s">
        <v>172</v>
      </c>
      <c r="B8" s="171" t="n">
        <v>0</v>
      </c>
      <c r="C8" s="171" t="n">
        <v>0</v>
      </c>
      <c r="D8" s="170" t="n">
        <f aca="false">B8+C8</f>
        <v>0</v>
      </c>
      <c r="E8" s="174"/>
    </row>
    <row r="9" customFormat="false" ht="15" hidden="false" customHeight="false" outlineLevel="0" collapsed="false">
      <c r="A9" s="173" t="s">
        <v>135</v>
      </c>
      <c r="B9" s="171" t="n">
        <v>0</v>
      </c>
      <c r="C9" s="171" t="n">
        <v>1000</v>
      </c>
      <c r="D9" s="170" t="n">
        <f aca="false">B9+C9</f>
        <v>1000</v>
      </c>
      <c r="E9" s="174"/>
    </row>
    <row r="10" customFormat="false" ht="15" hidden="false" customHeight="false" outlineLevel="0" collapsed="false">
      <c r="A10" s="173" t="s">
        <v>173</v>
      </c>
      <c r="B10" s="171" t="n">
        <v>0</v>
      </c>
      <c r="C10" s="171" t="n">
        <v>0</v>
      </c>
      <c r="D10" s="170" t="n">
        <f aca="false">B10+C10</f>
        <v>0</v>
      </c>
      <c r="E10" s="174"/>
    </row>
    <row r="11" customFormat="false" ht="15" hidden="false" customHeight="false" outlineLevel="0" collapsed="false">
      <c r="A11" s="175" t="s">
        <v>53</v>
      </c>
      <c r="B11" s="176" t="n">
        <f aca="false">SUM(B7:B10)</f>
        <v>0</v>
      </c>
      <c r="C11" s="176" t="n">
        <f aca="false">SUM(C7:C10)</f>
        <v>1000</v>
      </c>
      <c r="D11" s="176" t="n">
        <f aca="false">B11+C11</f>
        <v>1000</v>
      </c>
      <c r="E11" s="177"/>
    </row>
    <row r="12" customFormat="false" ht="15" hidden="false" customHeight="false" outlineLevel="0" collapsed="false">
      <c r="A12" s="178"/>
      <c r="B12" s="179"/>
      <c r="C12" s="179"/>
      <c r="D12" s="179"/>
      <c r="E12" s="180"/>
    </row>
    <row r="13" customFormat="false" ht="15" hidden="false" customHeight="false" outlineLevel="0" collapsed="false">
      <c r="A13" s="166" t="s">
        <v>174</v>
      </c>
      <c r="B13" s="167" t="s">
        <v>169</v>
      </c>
      <c r="C13" s="167" t="s">
        <v>170</v>
      </c>
      <c r="D13" s="167" t="s">
        <v>53</v>
      </c>
      <c r="E13" s="181"/>
    </row>
    <row r="14" customFormat="false" ht="15" hidden="false" customHeight="false" outlineLevel="0" collapsed="false">
      <c r="A14" s="169" t="s">
        <v>175</v>
      </c>
      <c r="B14" s="170" t="n">
        <v>1000</v>
      </c>
      <c r="C14" s="170" t="n">
        <v>0</v>
      </c>
      <c r="D14" s="170" t="n">
        <f aca="false">B14+C14</f>
        <v>1000</v>
      </c>
      <c r="E14" s="172"/>
    </row>
    <row r="15" customFormat="false" ht="15" hidden="false" customHeight="false" outlineLevel="0" collapsed="false">
      <c r="A15" s="173" t="s">
        <v>142</v>
      </c>
      <c r="B15" s="171" t="n">
        <v>1840</v>
      </c>
      <c r="C15" s="171" t="n">
        <v>0</v>
      </c>
      <c r="D15" s="170" t="n">
        <f aca="false">B15+C15</f>
        <v>1840</v>
      </c>
      <c r="E15" s="174"/>
    </row>
    <row r="16" customFormat="false" ht="15" hidden="false" customHeight="false" outlineLevel="0" collapsed="false">
      <c r="A16" s="173" t="s">
        <v>141</v>
      </c>
      <c r="B16" s="182" t="n">
        <v>100</v>
      </c>
      <c r="C16" s="171" t="n">
        <v>0</v>
      </c>
      <c r="D16" s="170" t="n">
        <f aca="false">B16+C16</f>
        <v>100</v>
      </c>
      <c r="E16" s="174"/>
    </row>
    <row r="17" customFormat="false" ht="15" hidden="false" customHeight="false" outlineLevel="0" collapsed="false">
      <c r="A17" s="173" t="s">
        <v>143</v>
      </c>
      <c r="B17" s="171" t="n">
        <v>202</v>
      </c>
      <c r="C17" s="171" t="n">
        <v>0</v>
      </c>
      <c r="D17" s="170" t="n">
        <f aca="false">B17+C17</f>
        <v>202</v>
      </c>
      <c r="E17" s="174"/>
    </row>
    <row r="18" customFormat="false" ht="15" hidden="false" customHeight="false" outlineLevel="0" collapsed="false">
      <c r="A18" s="173" t="s">
        <v>144</v>
      </c>
      <c r="B18" s="171" t="n">
        <v>0</v>
      </c>
      <c r="C18" s="171" t="n">
        <v>0</v>
      </c>
      <c r="D18" s="170" t="n">
        <f aca="false">B18+C18</f>
        <v>0</v>
      </c>
      <c r="E18" s="174"/>
    </row>
    <row r="19" customFormat="false" ht="15" hidden="false" customHeight="false" outlineLevel="0" collapsed="false">
      <c r="A19" s="173" t="s">
        <v>176</v>
      </c>
      <c r="B19" s="171" t="n">
        <v>0</v>
      </c>
      <c r="C19" s="171" t="n">
        <v>0</v>
      </c>
      <c r="D19" s="170" t="n">
        <f aca="false">B19+C19</f>
        <v>0</v>
      </c>
      <c r="E19" s="183" t="s">
        <v>177</v>
      </c>
    </row>
    <row r="20" customFormat="false" ht="15" hidden="false" customHeight="false" outlineLevel="0" collapsed="false">
      <c r="A20" s="175" t="s">
        <v>53</v>
      </c>
      <c r="B20" s="176" t="n">
        <f aca="false">SUM(B14:B19)</f>
        <v>3142</v>
      </c>
      <c r="C20" s="176" t="n">
        <f aca="false">SUM(C14:C19)</f>
        <v>0</v>
      </c>
      <c r="D20" s="176" t="n">
        <f aca="false">B20+C20</f>
        <v>3142</v>
      </c>
      <c r="E20" s="177" t="n">
        <f aca="false">D11-D20</f>
        <v>-2142</v>
      </c>
    </row>
    <row r="21" customFormat="false" ht="15" hidden="false" customHeight="false" outlineLevel="0" collapsed="false">
      <c r="A21" s="112"/>
      <c r="B21" s="112"/>
      <c r="C21" s="112"/>
      <c r="D21" s="112"/>
      <c r="E21" s="112"/>
    </row>
    <row r="22" customFormat="false" ht="15" hidden="false" customHeight="false" outlineLevel="0" collapsed="false">
      <c r="A22" s="184" t="s">
        <v>178</v>
      </c>
      <c r="B22" s="184"/>
      <c r="C22" s="184"/>
      <c r="D22" s="184"/>
      <c r="E22" s="184"/>
    </row>
    <row r="23" customFormat="false" ht="15" hidden="false" customHeight="false" outlineLevel="0" collapsed="false">
      <c r="A23" s="185" t="s">
        <v>179</v>
      </c>
      <c r="B23" s="186" t="n">
        <f aca="false">'Seznam účastníků'!$B$6-'Seznam účastníků'!$B$5+1</f>
        <v>1</v>
      </c>
      <c r="C23" s="187"/>
      <c r="D23" s="187"/>
      <c r="E23" s="187"/>
    </row>
    <row r="24" customFormat="false" ht="15" hidden="false" customHeight="false" outlineLevel="0" collapsed="false">
      <c r="A24" s="173" t="s">
        <v>180</v>
      </c>
      <c r="B24" s="188"/>
      <c r="C24" s="189"/>
      <c r="D24" s="189"/>
      <c r="E24" s="189"/>
    </row>
    <row r="25" customFormat="false" ht="15" hidden="false" customHeight="false" outlineLevel="0" collapsed="false">
      <c r="A25" s="173" t="s">
        <v>181</v>
      </c>
      <c r="B25" s="190" t="n">
        <v>14</v>
      </c>
      <c r="C25" s="189"/>
      <c r="D25" s="189"/>
      <c r="E25" s="189"/>
    </row>
    <row r="26" customFormat="false" ht="15" hidden="false" customHeight="false" outlineLevel="0" collapsed="false">
      <c r="A26" s="173" t="s">
        <v>182</v>
      </c>
      <c r="B26" s="190" t="n">
        <v>1</v>
      </c>
      <c r="C26" s="189"/>
      <c r="D26" s="189"/>
      <c r="E26" s="189"/>
    </row>
    <row r="27" customFormat="false" ht="15" hidden="false" customHeight="false" outlineLevel="0" collapsed="false">
      <c r="A27" s="173" t="s">
        <v>183</v>
      </c>
      <c r="B27" s="190" t="n">
        <v>0</v>
      </c>
      <c r="C27" s="189"/>
      <c r="D27" s="189"/>
      <c r="E27" s="189"/>
    </row>
    <row r="28" customFormat="false" ht="15" hidden="false" customHeight="false" outlineLevel="0" collapsed="false">
      <c r="A28" s="173" t="s">
        <v>184</v>
      </c>
      <c r="B28" s="190" t="n">
        <v>0</v>
      </c>
      <c r="C28" s="189"/>
      <c r="D28" s="189"/>
      <c r="E28" s="189"/>
    </row>
    <row r="29" customFormat="false" ht="15" hidden="false" customHeight="false" outlineLevel="0" collapsed="false">
      <c r="A29" s="173" t="s">
        <v>185</v>
      </c>
      <c r="B29" s="191" t="n">
        <f aca="false">SUM(B25:B28)</f>
        <v>15</v>
      </c>
      <c r="C29" s="189"/>
      <c r="D29" s="189"/>
      <c r="E29" s="189"/>
    </row>
    <row r="30" customFormat="false" ht="15" hidden="false" customHeight="false" outlineLevel="0" collapsed="false">
      <c r="A30" s="173"/>
      <c r="B30" s="192"/>
      <c r="C30" s="189"/>
      <c r="D30" s="189"/>
      <c r="E30" s="189"/>
    </row>
    <row r="31" customFormat="false" ht="15" hidden="false" customHeight="false" outlineLevel="0" collapsed="false">
      <c r="A31" s="173" t="s">
        <v>186</v>
      </c>
      <c r="B31" s="193" t="n">
        <v>160</v>
      </c>
      <c r="C31" s="189"/>
      <c r="D31" s="189"/>
      <c r="E31" s="189"/>
    </row>
    <row r="32" customFormat="false" ht="15" hidden="false" customHeight="false" outlineLevel="0" collapsed="false">
      <c r="A32" s="175" t="s">
        <v>187</v>
      </c>
      <c r="B32" s="194" t="n">
        <v>200</v>
      </c>
      <c r="C32" s="195"/>
      <c r="D32" s="195"/>
      <c r="E32" s="195"/>
    </row>
    <row r="33" customFormat="false" ht="15" hidden="false" customHeight="false" outlineLevel="0" collapsed="false">
      <c r="A33" s="112"/>
      <c r="B33" s="196"/>
      <c r="C33" s="112"/>
      <c r="D33" s="112"/>
      <c r="E33" s="112"/>
    </row>
    <row r="34" customFormat="false" ht="15" hidden="false" customHeight="false" outlineLevel="0" collapsed="false">
      <c r="A34" s="159" t="s">
        <v>188</v>
      </c>
      <c r="B34" s="159"/>
      <c r="C34" s="197"/>
      <c r="D34" s="159"/>
      <c r="E34" s="159"/>
    </row>
    <row r="35" customFormat="false" ht="15" hidden="false" customHeight="false" outlineLevel="0" collapsed="false">
      <c r="A35" s="159" t="s">
        <v>189</v>
      </c>
      <c r="B35" s="159"/>
      <c r="C35" s="159"/>
      <c r="D35" s="159"/>
      <c r="E35" s="197"/>
    </row>
    <row r="36" customFormat="false" ht="15" hidden="false" customHeight="false" outlineLevel="0" collapsed="false">
      <c r="A36" s="159" t="s">
        <v>190</v>
      </c>
      <c r="B36" s="159"/>
      <c r="C36" s="159"/>
      <c r="D36" s="159"/>
      <c r="E36" s="35" t="str">
        <f aca="false">"V1©16/9/2009 Hop"</f>
        <v>V1©16/9/2009 Hop</v>
      </c>
    </row>
  </sheetData>
  <sheetProtection sheet="true"/>
  <mergeCells count="16">
    <mergeCell ref="A1:E1"/>
    <mergeCell ref="B2:E2"/>
    <mergeCell ref="B3:E3"/>
    <mergeCell ref="B4:E4"/>
    <mergeCell ref="B5:D5"/>
    <mergeCell ref="A22:E22"/>
    <mergeCell ref="C23:E23"/>
    <mergeCell ref="C24:E24"/>
    <mergeCell ref="C25:E25"/>
    <mergeCell ref="C26:E26"/>
    <mergeCell ref="C27:E27"/>
    <mergeCell ref="C28:E28"/>
    <mergeCell ref="C29:E29"/>
    <mergeCell ref="C30:E30"/>
    <mergeCell ref="C31:E31"/>
    <mergeCell ref="C32:E32"/>
  </mergeCells>
  <printOptions headings="false" gridLines="false" gridLinesSet="true" horizontalCentered="false" verticalCentered="false"/>
  <pageMargins left="0.7875" right="0.7875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0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H18" activeCellId="0" sqref="H18"/>
    </sheetView>
  </sheetViews>
  <sheetFormatPr defaultColWidth="9.00390625" defaultRowHeight="12.75" zeroHeight="false" outlineLevelRow="0" outlineLevelCol="0"/>
  <cols>
    <col collapsed="false" customWidth="true" hidden="false" outlineLevel="0" max="1" min="1" style="198" width="17.42"/>
    <col collapsed="false" customWidth="true" hidden="false" outlineLevel="0" max="2" min="2" style="198" width="12.71"/>
    <col collapsed="false" customWidth="true" hidden="false" outlineLevel="0" max="3" min="3" style="199" width="11.71"/>
    <col collapsed="false" customWidth="true" hidden="false" outlineLevel="0" max="4" min="4" style="198" width="20.14"/>
    <col collapsed="false" customWidth="true" hidden="false" outlineLevel="0" max="5" min="5" style="198" width="10.14"/>
    <col collapsed="false" customWidth="false" hidden="false" outlineLevel="0" max="6" min="6" style="198" width="9"/>
    <col collapsed="false" customWidth="true" hidden="false" outlineLevel="0" max="7" min="7" style="200" width="7.42"/>
    <col collapsed="false" customWidth="true" hidden="false" outlineLevel="0" max="8" min="8" style="198" width="20.29"/>
    <col collapsed="false" customWidth="false" hidden="false" outlineLevel="0" max="16384" min="9" style="198" width="9"/>
  </cols>
  <sheetData>
    <row r="1" s="198" customFormat="true" ht="16.15" hidden="false" customHeight="false" outlineLevel="0" collapsed="false">
      <c r="A1" s="201" t="s">
        <v>191</v>
      </c>
    </row>
    <row r="2" s="198" customFormat="true" ht="17.35" hidden="false" customHeight="false" outlineLevel="0" collapsed="false">
      <c r="A2" s="202" t="s">
        <v>192</v>
      </c>
    </row>
    <row r="3" s="198" customFormat="true" ht="12.75" hidden="false" customHeight="true" outlineLevel="0" collapsed="false">
      <c r="A3" s="203"/>
    </row>
    <row r="4" s="198" customFormat="true" ht="12.75" hidden="false" customHeight="true" outlineLevel="0" collapsed="false">
      <c r="A4" s="198" t="s">
        <v>193</v>
      </c>
      <c r="B4" s="204"/>
      <c r="C4" s="204"/>
    </row>
    <row r="5" s="198" customFormat="true" ht="12.75" hidden="false" customHeight="false" outlineLevel="0" collapsed="false">
      <c r="A5" s="198" t="s">
        <v>194</v>
      </c>
      <c r="B5" s="205"/>
      <c r="C5" s="205"/>
    </row>
    <row r="6" s="198" customFormat="true" ht="12.75" hidden="false" customHeight="false" outlineLevel="0" collapsed="false">
      <c r="A6" s="198" t="s">
        <v>195</v>
      </c>
      <c r="B6" s="205"/>
      <c r="C6" s="205"/>
    </row>
    <row r="7" s="198" customFormat="true" ht="12.75" hidden="false" customHeight="false" outlineLevel="0" collapsed="false">
      <c r="A7" s="198" t="s">
        <v>196</v>
      </c>
      <c r="B7" s="204"/>
      <c r="C7" s="204"/>
    </row>
    <row r="8" s="198" customFormat="true" ht="12.75" hidden="false" customHeight="false" outlineLevel="0" collapsed="false"/>
    <row r="9" s="198" customFormat="true" ht="12.75" hidden="false" customHeight="false" outlineLevel="0" collapsed="false">
      <c r="A9" s="198" t="s">
        <v>197</v>
      </c>
      <c r="B9" s="206" t="n">
        <f aca="false">SUMPRODUCT((C19:C100&gt;DATE(YEAR(B5)-15,MONTH(B5),DAY(B5)))*ISNUMBER(C19:C100))</f>
        <v>0</v>
      </c>
      <c r="H9" s="207"/>
    </row>
    <row r="10" s="198" customFormat="true" ht="12.75" hidden="false" customHeight="false" outlineLevel="0" collapsed="false">
      <c r="A10" s="198" t="s">
        <v>198</v>
      </c>
      <c r="B10" s="206" t="n">
        <f aca="false">SUMPRODUCT((C19:C100&lt;=DATE(YEAR(B5)-15,MONTH(B5),DAY(B5)))*ISNUMBER(C19:C100)*(C19:C100&gt;DATE(YEAR(B5)-18,MONTH(B5),DAY(B5))))</f>
        <v>0</v>
      </c>
    </row>
    <row r="11" s="198" customFormat="true" ht="12.75" hidden="false" customHeight="false" outlineLevel="0" collapsed="false">
      <c r="A11" s="198" t="s">
        <v>199</v>
      </c>
      <c r="B11" s="206" t="n">
        <f aca="false">SUMPRODUCT((C19:C100&lt;=DATE(YEAR(B5)-18,MONTH(B5),DAY(B5)))*ISNUMBER(C19:C100)*(C19:C100&gt;DATE(YEAR(B5)-26,MONTH(B5),DAY(B5))))</f>
        <v>0</v>
      </c>
    </row>
    <row r="12" s="198" customFormat="true" ht="12.75" hidden="false" customHeight="false" outlineLevel="0" collapsed="false">
      <c r="A12" s="208" t="s">
        <v>200</v>
      </c>
      <c r="B12" s="209" t="n">
        <f aca="false">SUMPRODUCT((C19:C100&lt;=DATE(YEAR(B5)-26,MONTH(B5),DAY(B5)))*ISNUMBER(C19:C100))</f>
        <v>0</v>
      </c>
    </row>
    <row r="13" s="198" customFormat="true" ht="12.75" hidden="false" customHeight="false" outlineLevel="0" collapsed="false">
      <c r="A13" s="210" t="s">
        <v>201</v>
      </c>
      <c r="B13" s="211" t="n">
        <f aca="false">SUM(B9:B12)</f>
        <v>0</v>
      </c>
    </row>
    <row r="14" s="198" customFormat="true" ht="12.75" hidden="false" customHeight="false" outlineLevel="0" collapsed="false">
      <c r="A14" s="210" t="s">
        <v>202</v>
      </c>
      <c r="B14" s="206" t="n">
        <f aca="false">'Přehled o vybraných poplatcích'!D49</f>
        <v>0</v>
      </c>
    </row>
    <row r="15" s="198" customFormat="true" ht="12.75" hidden="false" customHeight="false" outlineLevel="0" collapsed="false">
      <c r="A15" s="212"/>
    </row>
    <row r="16" s="198" customFormat="true" ht="13.8" hidden="false" customHeight="false" outlineLevel="0" collapsed="false">
      <c r="A16" s="213" t="s">
        <v>203</v>
      </c>
      <c r="B16" s="213"/>
    </row>
    <row r="17" s="198" customFormat="true" ht="12.75" hidden="false" customHeight="false" outlineLevel="0" collapsed="false">
      <c r="A17" s="212"/>
    </row>
    <row r="18" customFormat="false" ht="12.75" hidden="false" customHeight="false" outlineLevel="0" collapsed="false">
      <c r="A18" s="214" t="s">
        <v>65</v>
      </c>
      <c r="B18" s="214" t="s">
        <v>66</v>
      </c>
      <c r="C18" s="214" t="s">
        <v>204</v>
      </c>
      <c r="D18" s="214" t="s">
        <v>68</v>
      </c>
      <c r="E18" s="214" t="s">
        <v>69</v>
      </c>
      <c r="F18" s="214" t="s">
        <v>205</v>
      </c>
      <c r="G18" s="214" t="s">
        <v>206</v>
      </c>
    </row>
    <row r="19" customFormat="false" ht="12.75" hidden="false" customHeight="false" outlineLevel="0" collapsed="false">
      <c r="A19" s="215"/>
      <c r="B19" s="216"/>
      <c r="C19" s="217"/>
      <c r="D19" s="216"/>
      <c r="E19" s="216"/>
      <c r="F19" s="218"/>
      <c r="G19" s="219"/>
      <c r="H19" s="220"/>
    </row>
    <row r="20" customFormat="false" ht="12.75" hidden="false" customHeight="false" outlineLevel="0" collapsed="false">
      <c r="A20" s="215"/>
      <c r="B20" s="221"/>
      <c r="C20" s="217"/>
      <c r="D20" s="221"/>
      <c r="E20" s="216"/>
      <c r="F20" s="218"/>
      <c r="G20" s="219"/>
      <c r="K20" s="222"/>
    </row>
    <row r="21" customFormat="false" ht="12.75" hidden="false" customHeight="false" outlineLevel="0" collapsed="false">
      <c r="A21" s="215"/>
      <c r="B21" s="216"/>
      <c r="C21" s="217"/>
      <c r="D21" s="216"/>
      <c r="E21" s="216"/>
      <c r="F21" s="218"/>
      <c r="G21" s="219"/>
    </row>
    <row r="22" customFormat="false" ht="12.75" hidden="false" customHeight="false" outlineLevel="0" collapsed="false">
      <c r="A22" s="215"/>
      <c r="B22" s="221"/>
      <c r="C22" s="217"/>
      <c r="D22" s="221"/>
      <c r="E22" s="216"/>
      <c r="F22" s="218"/>
      <c r="G22" s="219"/>
      <c r="K22" s="220"/>
    </row>
    <row r="23" customFormat="false" ht="12.75" hidden="false" customHeight="false" outlineLevel="0" collapsed="false">
      <c r="A23" s="215"/>
      <c r="B23" s="223"/>
      <c r="C23" s="217"/>
      <c r="D23" s="223"/>
      <c r="E23" s="216"/>
      <c r="F23" s="218"/>
      <c r="G23" s="219"/>
    </row>
    <row r="24" customFormat="false" ht="12.75" hidden="false" customHeight="false" outlineLevel="0" collapsed="false">
      <c r="A24" s="215"/>
      <c r="B24" s="216"/>
      <c r="C24" s="217"/>
      <c r="D24" s="216"/>
      <c r="E24" s="216"/>
      <c r="F24" s="218"/>
      <c r="G24" s="219"/>
    </row>
    <row r="25" customFormat="false" ht="12.75" hidden="false" customHeight="false" outlineLevel="0" collapsed="false">
      <c r="A25" s="215"/>
      <c r="B25" s="224"/>
      <c r="C25" s="217"/>
      <c r="D25" s="224"/>
      <c r="E25" s="216"/>
      <c r="F25" s="218"/>
      <c r="G25" s="219"/>
    </row>
    <row r="26" customFormat="false" ht="12.75" hidden="false" customHeight="false" outlineLevel="0" collapsed="false">
      <c r="A26" s="215"/>
      <c r="B26" s="221"/>
      <c r="C26" s="217"/>
      <c r="D26" s="221"/>
      <c r="E26" s="216"/>
      <c r="F26" s="218"/>
      <c r="G26" s="219"/>
    </row>
    <row r="27" customFormat="false" ht="12.75" hidden="false" customHeight="false" outlineLevel="0" collapsed="false">
      <c r="A27" s="215"/>
      <c r="B27" s="216"/>
      <c r="C27" s="217"/>
      <c r="D27" s="216"/>
      <c r="E27" s="216"/>
      <c r="F27" s="218"/>
      <c r="G27" s="219"/>
    </row>
    <row r="28" customFormat="false" ht="12.75" hidden="false" customHeight="false" outlineLevel="0" collapsed="false">
      <c r="A28" s="215"/>
      <c r="B28" s="223"/>
      <c r="C28" s="217"/>
      <c r="D28" s="223"/>
      <c r="E28" s="216"/>
      <c r="F28" s="218"/>
      <c r="G28" s="219"/>
    </row>
    <row r="29" customFormat="false" ht="12.75" hidden="false" customHeight="false" outlineLevel="0" collapsed="false">
      <c r="A29" s="215"/>
      <c r="B29" s="223"/>
      <c r="C29" s="217"/>
      <c r="D29" s="223"/>
      <c r="E29" s="216"/>
      <c r="F29" s="218"/>
      <c r="G29" s="219"/>
    </row>
    <row r="30" customFormat="false" ht="12.75" hidden="false" customHeight="false" outlineLevel="0" collapsed="false">
      <c r="A30" s="215"/>
      <c r="B30" s="223"/>
      <c r="C30" s="217"/>
      <c r="D30" s="223"/>
      <c r="E30" s="216"/>
      <c r="F30" s="218"/>
      <c r="G30" s="219"/>
    </row>
    <row r="31" customFormat="false" ht="12.75" hidden="false" customHeight="false" outlineLevel="0" collapsed="false">
      <c r="A31" s="225"/>
      <c r="B31" s="223"/>
      <c r="C31" s="217"/>
      <c r="D31" s="223"/>
      <c r="E31" s="216"/>
      <c r="F31" s="218"/>
      <c r="G31" s="219"/>
    </row>
    <row r="32" customFormat="false" ht="12.75" hidden="false" customHeight="false" outlineLevel="0" collapsed="false">
      <c r="A32" s="200"/>
      <c r="B32" s="223"/>
      <c r="C32" s="217"/>
      <c r="D32" s="215"/>
      <c r="E32" s="216"/>
      <c r="F32" s="218"/>
      <c r="G32" s="219"/>
    </row>
    <row r="33" customFormat="false" ht="12.75" hidden="false" customHeight="false" outlineLevel="0" collapsed="false">
      <c r="A33" s="200"/>
      <c r="B33" s="223"/>
      <c r="C33" s="226"/>
      <c r="D33" s="223"/>
      <c r="E33" s="216"/>
      <c r="F33" s="218"/>
      <c r="G33" s="219"/>
    </row>
    <row r="34" customFormat="false" ht="12.75" hidden="false" customHeight="false" outlineLevel="0" collapsed="false">
      <c r="A34" s="200"/>
      <c r="B34" s="223"/>
      <c r="C34" s="227"/>
      <c r="D34" s="215"/>
      <c r="E34" s="215"/>
      <c r="F34" s="218"/>
      <c r="G34" s="219"/>
    </row>
    <row r="35" customFormat="false" ht="12.75" hidden="false" customHeight="false" outlineLevel="0" collapsed="false">
      <c r="A35" s="200"/>
      <c r="B35" s="200"/>
      <c r="C35" s="228"/>
      <c r="D35" s="215"/>
      <c r="E35" s="215"/>
      <c r="F35" s="218"/>
      <c r="G35" s="219"/>
    </row>
    <row r="36" customFormat="false" ht="12.75" hidden="false" customHeight="false" outlineLevel="0" collapsed="false">
      <c r="A36" s="200"/>
      <c r="B36" s="200"/>
      <c r="C36" s="228"/>
      <c r="D36" s="215"/>
      <c r="E36" s="215"/>
      <c r="F36" s="218"/>
      <c r="G36" s="219"/>
    </row>
    <row r="37" customFormat="false" ht="12.75" hidden="false" customHeight="false" outlineLevel="0" collapsed="false">
      <c r="A37" s="200"/>
      <c r="B37" s="200"/>
      <c r="C37" s="228"/>
      <c r="D37" s="200"/>
      <c r="E37" s="229"/>
      <c r="F37" s="218"/>
      <c r="G37" s="219"/>
    </row>
    <row r="38" customFormat="false" ht="12.75" hidden="false" customHeight="false" outlineLevel="0" collapsed="false">
      <c r="A38" s="200"/>
      <c r="B38" s="200"/>
      <c r="C38" s="228"/>
      <c r="D38" s="200"/>
      <c r="E38" s="229"/>
      <c r="F38" s="218"/>
      <c r="G38" s="219"/>
    </row>
    <row r="39" customFormat="false" ht="12.75" hidden="false" customHeight="false" outlineLevel="0" collapsed="false">
      <c r="A39" s="200"/>
      <c r="B39" s="200"/>
      <c r="C39" s="228"/>
      <c r="D39" s="200"/>
      <c r="E39" s="229"/>
      <c r="F39" s="218"/>
      <c r="G39" s="219"/>
    </row>
    <row r="40" customFormat="false" ht="12.75" hidden="false" customHeight="false" outlineLevel="0" collapsed="false">
      <c r="A40" s="200"/>
      <c r="B40" s="200"/>
      <c r="C40" s="228"/>
      <c r="D40" s="200"/>
      <c r="E40" s="229"/>
      <c r="F40" s="218"/>
      <c r="G40" s="219"/>
    </row>
    <row r="41" customFormat="false" ht="12.75" hidden="false" customHeight="false" outlineLevel="0" collapsed="false">
      <c r="A41" s="200"/>
      <c r="B41" s="200"/>
      <c r="C41" s="228"/>
      <c r="D41" s="200"/>
      <c r="E41" s="229"/>
      <c r="F41" s="218"/>
      <c r="G41" s="219"/>
    </row>
    <row r="42" customFormat="false" ht="12.75" hidden="false" customHeight="false" outlineLevel="0" collapsed="false">
      <c r="A42" s="200"/>
      <c r="B42" s="200"/>
      <c r="C42" s="228"/>
      <c r="D42" s="200"/>
      <c r="E42" s="229"/>
      <c r="F42" s="218"/>
      <c r="G42" s="219"/>
    </row>
    <row r="43" customFormat="false" ht="12.75" hidden="false" customHeight="false" outlineLevel="0" collapsed="false">
      <c r="A43" s="200"/>
      <c r="B43" s="200"/>
      <c r="C43" s="228"/>
      <c r="D43" s="200"/>
      <c r="E43" s="229"/>
      <c r="F43" s="218"/>
      <c r="G43" s="219"/>
    </row>
    <row r="44" customFormat="false" ht="12.75" hidden="false" customHeight="false" outlineLevel="0" collapsed="false">
      <c r="A44" s="200"/>
      <c r="B44" s="200"/>
      <c r="C44" s="228"/>
      <c r="D44" s="200"/>
      <c r="E44" s="200"/>
      <c r="F44" s="218"/>
      <c r="G44" s="219"/>
    </row>
    <row r="45" customFormat="false" ht="12.75" hidden="false" customHeight="false" outlineLevel="0" collapsed="false">
      <c r="A45" s="200"/>
      <c r="B45" s="200"/>
      <c r="C45" s="228"/>
      <c r="D45" s="200"/>
      <c r="E45" s="200"/>
      <c r="F45" s="218"/>
      <c r="G45" s="219"/>
    </row>
    <row r="46" customFormat="false" ht="12.75" hidden="false" customHeight="false" outlineLevel="0" collapsed="false">
      <c r="A46" s="200"/>
      <c r="B46" s="200"/>
      <c r="C46" s="228"/>
      <c r="D46" s="200"/>
      <c r="E46" s="200"/>
      <c r="F46" s="218"/>
      <c r="G46" s="219"/>
    </row>
    <row r="47" customFormat="false" ht="12.75" hidden="false" customHeight="false" outlineLevel="0" collapsed="false">
      <c r="A47" s="200"/>
      <c r="B47" s="200"/>
      <c r="C47" s="228"/>
      <c r="D47" s="200"/>
      <c r="E47" s="200"/>
      <c r="F47" s="218"/>
      <c r="G47" s="219"/>
    </row>
    <row r="48" customFormat="false" ht="12.75" hidden="false" customHeight="false" outlineLevel="0" collapsed="false">
      <c r="A48" s="200"/>
      <c r="B48" s="200"/>
      <c r="C48" s="228"/>
      <c r="D48" s="200"/>
      <c r="E48" s="200"/>
      <c r="F48" s="218"/>
      <c r="G48" s="230"/>
    </row>
    <row r="49" customFormat="false" ht="12.75" hidden="false" customHeight="false" outlineLevel="0" collapsed="false">
      <c r="A49" s="200"/>
      <c r="B49" s="200"/>
      <c r="C49" s="228"/>
      <c r="D49" s="200"/>
      <c r="E49" s="200"/>
      <c r="F49" s="218"/>
      <c r="G49" s="230"/>
    </row>
    <row r="50" customFormat="false" ht="12.75" hidden="false" customHeight="false" outlineLevel="0" collapsed="false">
      <c r="A50" s="200"/>
      <c r="B50" s="200"/>
      <c r="C50" s="228"/>
      <c r="D50" s="200"/>
      <c r="E50" s="200"/>
      <c r="F50" s="218"/>
      <c r="G50" s="230"/>
    </row>
    <row r="51" customFormat="false" ht="12.75" hidden="false" customHeight="false" outlineLevel="0" collapsed="false">
      <c r="A51" s="200"/>
      <c r="B51" s="200"/>
      <c r="C51" s="228"/>
      <c r="D51" s="200"/>
      <c r="E51" s="200"/>
      <c r="F51" s="218"/>
      <c r="G51" s="230"/>
    </row>
    <row r="52" customFormat="false" ht="12.75" hidden="false" customHeight="false" outlineLevel="0" collapsed="false">
      <c r="A52" s="200"/>
      <c r="B52" s="200"/>
      <c r="C52" s="228"/>
      <c r="D52" s="200"/>
      <c r="E52" s="200"/>
      <c r="F52" s="218"/>
      <c r="G52" s="230"/>
    </row>
    <row r="53" customFormat="false" ht="12.75" hidden="false" customHeight="false" outlineLevel="0" collapsed="false">
      <c r="A53" s="200"/>
      <c r="B53" s="200"/>
      <c r="C53" s="228"/>
      <c r="D53" s="200"/>
      <c r="E53" s="200"/>
      <c r="F53" s="218"/>
      <c r="G53" s="230"/>
    </row>
    <row r="54" customFormat="false" ht="12.75" hidden="false" customHeight="false" outlineLevel="0" collapsed="false">
      <c r="A54" s="200"/>
      <c r="B54" s="200"/>
      <c r="C54" s="228"/>
      <c r="D54" s="200"/>
      <c r="E54" s="200"/>
      <c r="F54" s="218"/>
      <c r="G54" s="230"/>
    </row>
    <row r="55" customFormat="false" ht="12.75" hidden="false" customHeight="false" outlineLevel="0" collapsed="false">
      <c r="A55" s="200"/>
      <c r="B55" s="200"/>
      <c r="C55" s="228"/>
      <c r="D55" s="200"/>
      <c r="E55" s="200"/>
      <c r="F55" s="218"/>
      <c r="G55" s="230"/>
    </row>
    <row r="56" customFormat="false" ht="12.75" hidden="false" customHeight="false" outlineLevel="0" collapsed="false">
      <c r="A56" s="200"/>
      <c r="B56" s="200"/>
      <c r="C56" s="228"/>
      <c r="D56" s="200"/>
      <c r="E56" s="200"/>
      <c r="F56" s="218"/>
      <c r="G56" s="230"/>
    </row>
    <row r="57" customFormat="false" ht="12.75" hidden="false" customHeight="false" outlineLevel="0" collapsed="false">
      <c r="A57" s="200"/>
      <c r="B57" s="200"/>
      <c r="C57" s="228"/>
      <c r="D57" s="200"/>
      <c r="E57" s="200"/>
      <c r="F57" s="218"/>
      <c r="G57" s="230"/>
    </row>
    <row r="58" customFormat="false" ht="12.75" hidden="false" customHeight="false" outlineLevel="0" collapsed="false">
      <c r="A58" s="200"/>
      <c r="B58" s="200"/>
      <c r="C58" s="228"/>
      <c r="D58" s="200"/>
      <c r="E58" s="200"/>
      <c r="F58" s="218"/>
      <c r="G58" s="230"/>
    </row>
    <row r="59" customFormat="false" ht="12.75" hidden="false" customHeight="false" outlineLevel="0" collapsed="false">
      <c r="A59" s="200"/>
      <c r="B59" s="200"/>
      <c r="C59" s="228"/>
      <c r="D59" s="200"/>
      <c r="E59" s="200"/>
      <c r="F59" s="218"/>
      <c r="G59" s="230"/>
    </row>
    <row r="60" customFormat="false" ht="12.75" hidden="false" customHeight="false" outlineLevel="0" collapsed="false">
      <c r="A60" s="200"/>
      <c r="B60" s="200"/>
      <c r="C60" s="228"/>
      <c r="D60" s="200"/>
      <c r="E60" s="200"/>
      <c r="F60" s="218"/>
      <c r="G60" s="230"/>
    </row>
    <row r="61" customFormat="false" ht="12.75" hidden="false" customHeight="false" outlineLevel="0" collapsed="false">
      <c r="A61" s="200"/>
      <c r="B61" s="200"/>
      <c r="C61" s="228"/>
      <c r="D61" s="200"/>
      <c r="E61" s="200"/>
      <c r="F61" s="218"/>
      <c r="G61" s="230"/>
    </row>
    <row r="62" customFormat="false" ht="12.75" hidden="false" customHeight="false" outlineLevel="0" collapsed="false">
      <c r="A62" s="200"/>
      <c r="B62" s="200"/>
      <c r="C62" s="228"/>
      <c r="D62" s="200"/>
      <c r="E62" s="200"/>
      <c r="F62" s="218"/>
      <c r="G62" s="230"/>
    </row>
    <row r="63" customFormat="false" ht="12.75" hidden="false" customHeight="false" outlineLevel="0" collapsed="false">
      <c r="A63" s="200"/>
      <c r="B63" s="200"/>
      <c r="C63" s="228"/>
      <c r="D63" s="200"/>
      <c r="E63" s="200"/>
      <c r="F63" s="218"/>
      <c r="G63" s="230"/>
    </row>
    <row r="64" customFormat="false" ht="12.75" hidden="false" customHeight="false" outlineLevel="0" collapsed="false">
      <c r="A64" s="200"/>
      <c r="B64" s="200"/>
      <c r="C64" s="228"/>
      <c r="D64" s="200"/>
      <c r="E64" s="200"/>
      <c r="F64" s="218"/>
      <c r="G64" s="230"/>
    </row>
    <row r="65" customFormat="false" ht="12.75" hidden="false" customHeight="false" outlineLevel="0" collapsed="false">
      <c r="A65" s="200"/>
      <c r="B65" s="200"/>
      <c r="C65" s="228"/>
      <c r="D65" s="200"/>
      <c r="E65" s="200"/>
      <c r="F65" s="218"/>
      <c r="G65" s="230"/>
    </row>
    <row r="66" customFormat="false" ht="12.75" hidden="false" customHeight="false" outlineLevel="0" collapsed="false">
      <c r="A66" s="200"/>
      <c r="B66" s="200"/>
      <c r="C66" s="228"/>
      <c r="D66" s="200"/>
      <c r="E66" s="200"/>
      <c r="F66" s="218"/>
      <c r="G66" s="230"/>
    </row>
    <row r="67" customFormat="false" ht="12.75" hidden="false" customHeight="false" outlineLevel="0" collapsed="false">
      <c r="A67" s="200"/>
      <c r="B67" s="200"/>
      <c r="C67" s="228"/>
      <c r="D67" s="200"/>
      <c r="E67" s="200"/>
      <c r="F67" s="218"/>
      <c r="G67" s="230"/>
    </row>
    <row r="68" customFormat="false" ht="12.75" hidden="false" customHeight="false" outlineLevel="0" collapsed="false">
      <c r="A68" s="200"/>
      <c r="B68" s="200"/>
      <c r="C68" s="228"/>
      <c r="D68" s="200"/>
      <c r="E68" s="200"/>
      <c r="F68" s="218"/>
      <c r="G68" s="230"/>
    </row>
    <row r="69" customFormat="false" ht="12.75" hidden="false" customHeight="false" outlineLevel="0" collapsed="false">
      <c r="A69" s="200"/>
      <c r="B69" s="200"/>
      <c r="C69" s="228"/>
      <c r="D69" s="200"/>
      <c r="E69" s="200"/>
      <c r="F69" s="218"/>
      <c r="G69" s="230"/>
    </row>
    <row r="70" customFormat="false" ht="12.75" hidden="false" customHeight="false" outlineLevel="0" collapsed="false">
      <c r="A70" s="200"/>
      <c r="B70" s="200"/>
      <c r="C70" s="228"/>
      <c r="D70" s="200"/>
      <c r="E70" s="200"/>
      <c r="F70" s="200"/>
      <c r="G70" s="230"/>
    </row>
    <row r="71" customFormat="false" ht="12.75" hidden="false" customHeight="false" outlineLevel="0" collapsed="false">
      <c r="A71" s="200"/>
      <c r="B71" s="200"/>
      <c r="C71" s="228"/>
      <c r="D71" s="200"/>
      <c r="E71" s="200"/>
      <c r="F71" s="200"/>
      <c r="G71" s="230"/>
    </row>
    <row r="72" customFormat="false" ht="12.75" hidden="false" customHeight="false" outlineLevel="0" collapsed="false">
      <c r="A72" s="200"/>
      <c r="B72" s="200"/>
      <c r="C72" s="228"/>
      <c r="D72" s="200"/>
      <c r="E72" s="200"/>
      <c r="F72" s="200"/>
      <c r="G72" s="230"/>
    </row>
    <row r="73" customFormat="false" ht="12.75" hidden="false" customHeight="false" outlineLevel="0" collapsed="false">
      <c r="A73" s="200"/>
      <c r="B73" s="200"/>
      <c r="C73" s="228"/>
      <c r="D73" s="200"/>
      <c r="E73" s="200"/>
      <c r="F73" s="200"/>
      <c r="G73" s="230"/>
    </row>
    <row r="74" customFormat="false" ht="12.75" hidden="false" customHeight="false" outlineLevel="0" collapsed="false">
      <c r="A74" s="200"/>
      <c r="B74" s="200"/>
      <c r="C74" s="228"/>
      <c r="D74" s="200"/>
      <c r="E74" s="200"/>
      <c r="F74" s="200"/>
      <c r="G74" s="230"/>
    </row>
    <row r="75" customFormat="false" ht="12.75" hidden="false" customHeight="false" outlineLevel="0" collapsed="false">
      <c r="A75" s="200"/>
      <c r="B75" s="200"/>
      <c r="C75" s="228"/>
      <c r="D75" s="200"/>
      <c r="E75" s="200"/>
      <c r="F75" s="200"/>
      <c r="G75" s="230"/>
    </row>
    <row r="76" customFormat="false" ht="12.75" hidden="false" customHeight="false" outlineLevel="0" collapsed="false">
      <c r="A76" s="200"/>
      <c r="B76" s="200"/>
      <c r="C76" s="228"/>
      <c r="D76" s="200"/>
      <c r="E76" s="200"/>
      <c r="F76" s="200"/>
      <c r="G76" s="230"/>
    </row>
    <row r="77" customFormat="false" ht="12.75" hidden="false" customHeight="false" outlineLevel="0" collapsed="false">
      <c r="A77" s="200"/>
      <c r="B77" s="200"/>
      <c r="C77" s="228"/>
      <c r="D77" s="200"/>
      <c r="E77" s="200"/>
      <c r="F77" s="200"/>
      <c r="G77" s="230"/>
    </row>
    <row r="78" customFormat="false" ht="12.75" hidden="false" customHeight="false" outlineLevel="0" collapsed="false">
      <c r="A78" s="200"/>
      <c r="B78" s="200"/>
      <c r="C78" s="228"/>
      <c r="D78" s="200"/>
      <c r="E78" s="200"/>
      <c r="F78" s="200"/>
      <c r="G78" s="230"/>
    </row>
    <row r="79" customFormat="false" ht="12.75" hidden="false" customHeight="false" outlineLevel="0" collapsed="false">
      <c r="A79" s="200"/>
      <c r="B79" s="200"/>
      <c r="C79" s="228"/>
      <c r="D79" s="200"/>
      <c r="E79" s="200"/>
      <c r="F79" s="200"/>
      <c r="G79" s="230"/>
    </row>
    <row r="80" customFormat="false" ht="12.75" hidden="false" customHeight="false" outlineLevel="0" collapsed="false">
      <c r="A80" s="200"/>
      <c r="B80" s="200"/>
      <c r="C80" s="228"/>
      <c r="D80" s="200"/>
      <c r="E80" s="200"/>
      <c r="F80" s="200"/>
      <c r="G80" s="230"/>
    </row>
    <row r="81" customFormat="false" ht="12.75" hidden="false" customHeight="false" outlineLevel="0" collapsed="false">
      <c r="A81" s="200"/>
      <c r="B81" s="200"/>
      <c r="C81" s="228"/>
      <c r="D81" s="200"/>
      <c r="E81" s="200"/>
      <c r="F81" s="200"/>
      <c r="G81" s="230"/>
    </row>
    <row r="82" customFormat="false" ht="12.75" hidden="false" customHeight="false" outlineLevel="0" collapsed="false">
      <c r="A82" s="200"/>
      <c r="B82" s="200"/>
      <c r="C82" s="228"/>
      <c r="D82" s="200"/>
      <c r="E82" s="200"/>
      <c r="F82" s="200"/>
      <c r="G82" s="230"/>
    </row>
    <row r="83" customFormat="false" ht="12.75" hidden="false" customHeight="false" outlineLevel="0" collapsed="false">
      <c r="A83" s="200"/>
      <c r="B83" s="200"/>
      <c r="C83" s="228"/>
      <c r="D83" s="200"/>
      <c r="E83" s="200"/>
      <c r="F83" s="200"/>
      <c r="G83" s="230"/>
    </row>
    <row r="84" customFormat="false" ht="12.75" hidden="false" customHeight="false" outlineLevel="0" collapsed="false">
      <c r="A84" s="200"/>
      <c r="B84" s="200"/>
      <c r="C84" s="228"/>
      <c r="D84" s="200"/>
      <c r="E84" s="200"/>
      <c r="F84" s="200"/>
      <c r="G84" s="230"/>
    </row>
    <row r="85" customFormat="false" ht="12.75" hidden="false" customHeight="false" outlineLevel="0" collapsed="false">
      <c r="A85" s="200"/>
      <c r="B85" s="200"/>
      <c r="C85" s="228"/>
      <c r="D85" s="200"/>
      <c r="E85" s="200"/>
      <c r="F85" s="200"/>
      <c r="G85" s="230"/>
    </row>
    <row r="86" customFormat="false" ht="12.75" hidden="false" customHeight="false" outlineLevel="0" collapsed="false">
      <c r="A86" s="200"/>
      <c r="B86" s="200"/>
      <c r="C86" s="228"/>
      <c r="D86" s="200"/>
      <c r="E86" s="200"/>
      <c r="F86" s="200"/>
      <c r="G86" s="230"/>
    </row>
    <row r="87" customFormat="false" ht="12.75" hidden="false" customHeight="false" outlineLevel="0" collapsed="false">
      <c r="A87" s="200"/>
      <c r="B87" s="200"/>
      <c r="C87" s="228"/>
      <c r="D87" s="200"/>
      <c r="E87" s="200"/>
      <c r="F87" s="200"/>
      <c r="G87" s="230"/>
    </row>
    <row r="88" customFormat="false" ht="12.75" hidden="false" customHeight="false" outlineLevel="0" collapsed="false">
      <c r="A88" s="200"/>
      <c r="B88" s="200"/>
      <c r="C88" s="228"/>
      <c r="D88" s="200"/>
      <c r="E88" s="200"/>
      <c r="F88" s="200"/>
      <c r="G88" s="230"/>
    </row>
    <row r="89" customFormat="false" ht="12.75" hidden="false" customHeight="false" outlineLevel="0" collapsed="false">
      <c r="A89" s="200"/>
      <c r="B89" s="200"/>
      <c r="C89" s="228"/>
      <c r="D89" s="200"/>
      <c r="E89" s="200"/>
      <c r="F89" s="200"/>
      <c r="G89" s="230"/>
    </row>
    <row r="90" customFormat="false" ht="12.75" hidden="false" customHeight="false" outlineLevel="0" collapsed="false">
      <c r="A90" s="200"/>
      <c r="B90" s="200"/>
      <c r="C90" s="228"/>
      <c r="D90" s="200"/>
      <c r="E90" s="200"/>
      <c r="F90" s="200"/>
      <c r="G90" s="230"/>
    </row>
    <row r="91" customFormat="false" ht="12.75" hidden="false" customHeight="false" outlineLevel="0" collapsed="false">
      <c r="A91" s="200"/>
      <c r="B91" s="200"/>
      <c r="C91" s="228"/>
      <c r="D91" s="200"/>
      <c r="E91" s="200"/>
      <c r="F91" s="200"/>
      <c r="G91" s="230"/>
    </row>
    <row r="92" customFormat="false" ht="12.75" hidden="false" customHeight="false" outlineLevel="0" collapsed="false">
      <c r="A92" s="200"/>
      <c r="B92" s="200"/>
      <c r="C92" s="228"/>
      <c r="D92" s="200"/>
      <c r="E92" s="200"/>
      <c r="F92" s="200"/>
      <c r="G92" s="230"/>
    </row>
    <row r="93" customFormat="false" ht="12.75" hidden="false" customHeight="false" outlineLevel="0" collapsed="false">
      <c r="A93" s="200"/>
      <c r="B93" s="200"/>
      <c r="C93" s="228"/>
      <c r="D93" s="200"/>
      <c r="E93" s="200"/>
      <c r="F93" s="200"/>
      <c r="G93" s="230"/>
    </row>
    <row r="94" customFormat="false" ht="12.75" hidden="false" customHeight="false" outlineLevel="0" collapsed="false">
      <c r="A94" s="200"/>
      <c r="B94" s="200"/>
      <c r="C94" s="228"/>
      <c r="D94" s="200"/>
      <c r="E94" s="200"/>
      <c r="F94" s="200"/>
      <c r="G94" s="230"/>
    </row>
    <row r="95" customFormat="false" ht="12.75" hidden="false" customHeight="false" outlineLevel="0" collapsed="false">
      <c r="A95" s="200"/>
      <c r="B95" s="200"/>
      <c r="C95" s="228"/>
      <c r="D95" s="200"/>
      <c r="E95" s="200"/>
      <c r="F95" s="200"/>
      <c r="G95" s="230"/>
    </row>
    <row r="96" customFormat="false" ht="12.75" hidden="false" customHeight="false" outlineLevel="0" collapsed="false">
      <c r="A96" s="200"/>
      <c r="B96" s="200"/>
      <c r="C96" s="228"/>
      <c r="D96" s="200"/>
      <c r="E96" s="200"/>
      <c r="F96" s="200"/>
      <c r="G96" s="230"/>
    </row>
    <row r="97" customFormat="false" ht="12.75" hidden="false" customHeight="false" outlineLevel="0" collapsed="false">
      <c r="A97" s="200"/>
      <c r="B97" s="200"/>
      <c r="C97" s="228"/>
      <c r="D97" s="200"/>
      <c r="E97" s="200"/>
      <c r="F97" s="200"/>
      <c r="G97" s="230"/>
    </row>
    <row r="98" customFormat="false" ht="12.75" hidden="false" customHeight="false" outlineLevel="0" collapsed="false">
      <c r="A98" s="200"/>
      <c r="B98" s="200"/>
      <c r="C98" s="228"/>
      <c r="D98" s="200"/>
      <c r="E98" s="200"/>
      <c r="F98" s="200"/>
      <c r="G98" s="230"/>
    </row>
    <row r="99" customFormat="false" ht="12.75" hidden="false" customHeight="false" outlineLevel="0" collapsed="false">
      <c r="A99" s="200"/>
      <c r="B99" s="200"/>
      <c r="C99" s="228"/>
      <c r="D99" s="200"/>
      <c r="E99" s="200"/>
      <c r="F99" s="200"/>
      <c r="G99" s="230"/>
    </row>
    <row r="100" customFormat="false" ht="12.75" hidden="false" customHeight="false" outlineLevel="0" collapsed="false">
      <c r="G100" s="230"/>
    </row>
    <row r="101" customFormat="false" ht="12.75" hidden="false" customHeight="false" outlineLevel="0" collapsed="false">
      <c r="G101" s="230"/>
    </row>
    <row r="102" customFormat="false" ht="12.75" hidden="false" customHeight="false" outlineLevel="0" collapsed="false">
      <c r="G102" s="230"/>
    </row>
    <row r="103" customFormat="false" ht="12.75" hidden="false" customHeight="false" outlineLevel="0" collapsed="false">
      <c r="G103" s="230"/>
    </row>
    <row r="104" customFormat="false" ht="12.75" hidden="false" customHeight="false" outlineLevel="0" collapsed="false">
      <c r="G104" s="230"/>
    </row>
    <row r="105" customFormat="false" ht="12.75" hidden="false" customHeight="false" outlineLevel="0" collapsed="false">
      <c r="G105" s="230"/>
    </row>
    <row r="106" customFormat="false" ht="12.75" hidden="false" customHeight="false" outlineLevel="0" collapsed="false">
      <c r="G106" s="230"/>
    </row>
    <row r="107" customFormat="false" ht="12.75" hidden="false" customHeight="false" outlineLevel="0" collapsed="false">
      <c r="G107" s="230"/>
    </row>
    <row r="108" customFormat="false" ht="12.75" hidden="false" customHeight="false" outlineLevel="0" collapsed="false">
      <c r="G108" s="230"/>
    </row>
    <row r="109" customFormat="false" ht="12.75" hidden="false" customHeight="false" outlineLevel="0" collapsed="false">
      <c r="G109" s="230"/>
    </row>
  </sheetData>
  <sheetProtection sheet="true"/>
  <mergeCells count="5">
    <mergeCell ref="B4:C4"/>
    <mergeCell ref="B5:C5"/>
    <mergeCell ref="B6:C6"/>
    <mergeCell ref="B7:C7"/>
    <mergeCell ref="A16:B16"/>
  </mergeCells>
  <printOptions headings="false" gridLines="false" gridLinesSet="true" horizontalCentered="false" verticalCentered="false"/>
  <pageMargins left="0.7" right="0.7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0390625" defaultRowHeight="12.75" zeroHeight="false" outlineLevelRow="0" outlineLevelCol="0"/>
  <cols>
    <col collapsed="false" customWidth="false" hidden="false" outlineLevel="0" max="1" min="1" style="198" width="9"/>
    <col collapsed="false" customWidth="true" hidden="false" outlineLevel="0" max="2" min="2" style="198" width="11"/>
    <col collapsed="false" customWidth="true" hidden="false" outlineLevel="0" max="3" min="3" style="198" width="13.29"/>
    <col collapsed="false" customWidth="true" hidden="false" outlineLevel="0" max="4" min="4" style="198" width="8.42"/>
    <col collapsed="false" customWidth="true" hidden="false" outlineLevel="0" max="5" min="5" style="198" width="14.14"/>
    <col collapsed="false" customWidth="true" hidden="false" outlineLevel="0" max="6" min="6" style="198" width="29"/>
    <col collapsed="false" customWidth="true" hidden="true" outlineLevel="0" max="7" min="7" style="198" width="11.53"/>
    <col collapsed="false" customWidth="false" hidden="false" outlineLevel="0" max="16384" min="8" style="198" width="9"/>
  </cols>
  <sheetData>
    <row r="1" customFormat="false" ht="16.15" hidden="false" customHeight="false" outlineLevel="0" collapsed="false">
      <c r="A1" s="201" t="str">
        <f aca="false">'Seznam účastníků'!A1</f>
        <v>Kondor - Skupina ŠÁN - Podolské nábřeží 5, Praha 4 - Podolí, 147 00</v>
      </c>
    </row>
    <row r="2" customFormat="false" ht="17.35" hidden="false" customHeight="false" outlineLevel="0" collapsed="false">
      <c r="A2" s="231" t="str">
        <f aca="false">'Seznam účastníků'!A2</f>
        <v>Neočekávaný dýchánek</v>
      </c>
    </row>
    <row r="4" customFormat="false" ht="12.75" hidden="false" customHeight="false" outlineLevel="0" collapsed="false">
      <c r="A4" s="198" t="s">
        <v>193</v>
      </c>
      <c r="B4" s="232" t="n">
        <f aca="false">'Seznam účastníků'!B4</f>
        <v>0</v>
      </c>
      <c r="C4" s="232"/>
    </row>
    <row r="5" customFormat="false" ht="12.75" hidden="false" customHeight="false" outlineLevel="0" collapsed="false">
      <c r="A5" s="198" t="s">
        <v>194</v>
      </c>
      <c r="B5" s="233" t="n">
        <f aca="false">'Seznam účastníků'!B5</f>
        <v>0</v>
      </c>
      <c r="C5" s="233"/>
    </row>
    <row r="6" customFormat="false" ht="12.75" hidden="false" customHeight="false" outlineLevel="0" collapsed="false">
      <c r="A6" s="198" t="s">
        <v>195</v>
      </c>
      <c r="B6" s="233" t="n">
        <f aca="false">'Seznam účastníků'!B6</f>
        <v>0</v>
      </c>
      <c r="C6" s="233"/>
    </row>
    <row r="7" customFormat="false" ht="12.75" hidden="false" customHeight="false" outlineLevel="0" collapsed="false">
      <c r="A7" s="198" t="s">
        <v>196</v>
      </c>
      <c r="B7" s="232" t="n">
        <f aca="false">'Seznam účastníků'!B7</f>
        <v>0</v>
      </c>
      <c r="C7" s="232"/>
    </row>
    <row r="9" customFormat="false" ht="12.75" hidden="false" customHeight="false" outlineLevel="0" collapsed="false">
      <c r="A9" s="198" t="s">
        <v>207</v>
      </c>
    </row>
    <row r="11" customFormat="false" ht="12.75" hidden="false" customHeight="false" outlineLevel="0" collapsed="false">
      <c r="B11" s="234" t="s">
        <v>65</v>
      </c>
      <c r="C11" s="234" t="s">
        <v>66</v>
      </c>
      <c r="D11" s="234" t="s">
        <v>208</v>
      </c>
      <c r="E11" s="234" t="s">
        <v>209</v>
      </c>
      <c r="G11" s="234" t="s">
        <v>210</v>
      </c>
    </row>
    <row r="12" customFormat="false" ht="12.75" hidden="false" customHeight="false" outlineLevel="0" collapsed="false">
      <c r="B12" s="235" t="str">
        <f aca="false">IF(NOT(ISBLANK('Seznam účastníků'!A19)),'Seznam účastníků'!A19,"")</f>
        <v/>
      </c>
      <c r="C12" s="235" t="str">
        <f aca="false">IF(NOT(ISBLANK('Seznam účastníků'!B19)),'Seznam účastníků'!B19,"")</f>
        <v/>
      </c>
      <c r="D12" s="230" t="str">
        <f aca="false">IF(NOT(ISBLANK('Seznam účastníků'!B19)),$B$6-$B$5+1,"")</f>
        <v/>
      </c>
      <c r="E12" s="236" t="str">
        <f aca="false">IF(NOT(ISBLANK('Seznam účastníků'!B19)),IF(ISNUMBER(G12),D12*G12,G12),"")</f>
        <v/>
      </c>
      <c r="G12" s="236" t="str">
        <f aca="false">IF(LOWER('Seznam účastníků'!G19)="d",MIN('Soupis výdajů'!$D$47,MAX('Soupis výdajů'!$D$47-30,40)),IF(LOWER('Seznam účastníků'!G19)="i",MIN('Soupis výdajů'!$D$47,MAX('Soupis výdajů'!$D$47-40,30)),IF(LOWER('Seznam účastníků'!G19)="v",MIN('Soupis výdajů'!$D$47,MAX('Soupis výdajů'!$D$47-50,20)),IF(LOWER('Seznam účastníků'!G19)="h",0,IF(LOWER('Seznam účastníků'!G19)="n",'Soupis výdajů'!$D$47,IF(ISBLANK('Seznam účastníků'!G19),"","? dítě, instruktor, vedoucí, hlavní, nečlen ?"))))))</f>
        <v/>
      </c>
    </row>
    <row r="13" customFormat="false" ht="12.75" hidden="false" customHeight="false" outlineLevel="0" collapsed="false">
      <c r="B13" s="235" t="str">
        <f aca="false">IF(NOT(ISBLANK('Seznam účastníků'!A20)),'Seznam účastníků'!A20,"")</f>
        <v/>
      </c>
      <c r="C13" s="235" t="str">
        <f aca="false">IF(NOT(ISBLANK('Seznam účastníků'!B20)),'Seznam účastníků'!B20,"")</f>
        <v/>
      </c>
      <c r="D13" s="230" t="str">
        <f aca="false">IF(NOT(ISBLANK('Seznam účastníků'!B20)),$B$6-$B$5+1,"")</f>
        <v/>
      </c>
      <c r="E13" s="236" t="str">
        <f aca="false">IF(NOT(ISBLANK('Seznam účastníků'!B20)),IF(ISNUMBER(G13),D13*G13,G13),"")</f>
        <v/>
      </c>
      <c r="G13" s="236" t="str">
        <f aca="false">IF(LOWER('Seznam účastníků'!G20)="d",MIN('Soupis výdajů'!$D$47,MAX('Soupis výdajů'!$D$47-30,40)),IF(LOWER('Seznam účastníků'!G20)="i",MIN('Soupis výdajů'!$D$47,MAX('Soupis výdajů'!$D$47-40,30)),IF(LOWER('Seznam účastníků'!G20)="v",MIN('Soupis výdajů'!$D$47,MAX('Soupis výdajů'!$D$47-50,20)),IF(LOWER('Seznam účastníků'!G20)="h",0,IF(LOWER('Seznam účastníků'!G20)="n",'Soupis výdajů'!$D$47,IF(ISBLANK('Seznam účastníků'!G20),"","? dítě, instruktor, vedoucí, hlavní, nečlen ?"))))))</f>
        <v/>
      </c>
    </row>
    <row r="14" customFormat="false" ht="12.75" hidden="false" customHeight="false" outlineLevel="0" collapsed="false">
      <c r="B14" s="235" t="str">
        <f aca="false">IF(NOT(ISBLANK('Seznam účastníků'!A21)),'Seznam účastníků'!A21,"")</f>
        <v/>
      </c>
      <c r="C14" s="235" t="str">
        <f aca="false">IF(NOT(ISBLANK('Seznam účastníků'!B21)),'Seznam účastníků'!B21,"")</f>
        <v/>
      </c>
      <c r="D14" s="230" t="str">
        <f aca="false">IF(NOT(ISBLANK('Seznam účastníků'!B21)),$B$6-$B$5+1,"")</f>
        <v/>
      </c>
      <c r="E14" s="236" t="str">
        <f aca="false">IF(NOT(ISBLANK('Seznam účastníků'!B21)),IF(ISNUMBER(G14),D14*G14,G14),"")</f>
        <v/>
      </c>
      <c r="G14" s="236" t="str">
        <f aca="false">IF(LOWER('Seznam účastníků'!G21)="d",MIN('Soupis výdajů'!$D$47,MAX('Soupis výdajů'!$D$47-30,40)),IF(LOWER('Seznam účastníků'!G21)="i",MIN('Soupis výdajů'!$D$47,MAX('Soupis výdajů'!$D$47-40,30)),IF(LOWER('Seznam účastníků'!G21)="v",MIN('Soupis výdajů'!$D$47,MAX('Soupis výdajů'!$D$47-50,20)),IF(LOWER('Seznam účastníků'!G21)="h",0,IF(LOWER('Seznam účastníků'!G21)="n",'Soupis výdajů'!$D$47,IF(ISBLANK('Seznam účastníků'!G21),"","? dítě, instruktor, vedoucí, hlavní, nečlen ?"))))))</f>
        <v/>
      </c>
    </row>
    <row r="15" customFormat="false" ht="12.75" hidden="false" customHeight="false" outlineLevel="0" collapsed="false">
      <c r="B15" s="235" t="str">
        <f aca="false">IF(NOT(ISBLANK('Seznam účastníků'!A22)),'Seznam účastníků'!A22,"")</f>
        <v/>
      </c>
      <c r="C15" s="235" t="str">
        <f aca="false">IF(NOT(ISBLANK('Seznam účastníků'!B22)),'Seznam účastníků'!B22,"")</f>
        <v/>
      </c>
      <c r="D15" s="230" t="str">
        <f aca="false">IF(NOT(ISBLANK('Seznam účastníků'!B22)),$B$6-$B$5+1,"")</f>
        <v/>
      </c>
      <c r="E15" s="236" t="str">
        <f aca="false">IF(NOT(ISBLANK('Seznam účastníků'!B22)),IF(ISNUMBER(G15),D15*G15,G15),"")</f>
        <v/>
      </c>
      <c r="G15" s="236" t="str">
        <f aca="false">IF(LOWER('Seznam účastníků'!G22)="d",MIN('Soupis výdajů'!$D$47,MAX('Soupis výdajů'!$D$47-30,40)),IF(LOWER('Seznam účastníků'!G22)="i",MIN('Soupis výdajů'!$D$47,MAX('Soupis výdajů'!$D$47-40,30)),IF(LOWER('Seznam účastníků'!G22)="v",MIN('Soupis výdajů'!$D$47,MAX('Soupis výdajů'!$D$47-50,20)),IF(LOWER('Seznam účastníků'!G22)="h",0,IF(LOWER('Seznam účastníků'!G22)="n",'Soupis výdajů'!$D$47,IF(ISBLANK('Seznam účastníků'!G22),"","? dítě, instruktor, vedoucí, hlavní, nečlen ?"))))))</f>
        <v/>
      </c>
    </row>
    <row r="16" customFormat="false" ht="12.75" hidden="false" customHeight="false" outlineLevel="0" collapsed="false">
      <c r="B16" s="235" t="str">
        <f aca="false">IF(NOT(ISBLANK('Seznam účastníků'!A23)),'Seznam účastníků'!A23,"")</f>
        <v/>
      </c>
      <c r="C16" s="235" t="str">
        <f aca="false">IF(NOT(ISBLANK('Seznam účastníků'!B23)),'Seznam účastníků'!B23,"")</f>
        <v/>
      </c>
      <c r="D16" s="230" t="str">
        <f aca="false">IF(NOT(ISBLANK('Seznam účastníků'!B23)),$B$6-$B$5+1,"")</f>
        <v/>
      </c>
      <c r="E16" s="236" t="str">
        <f aca="false">IF(NOT(ISBLANK('Seznam účastníků'!B23)),IF(ISNUMBER(G16),D16*G16,G16),"")</f>
        <v/>
      </c>
      <c r="G16" s="236" t="str">
        <f aca="false">IF(LOWER('Seznam účastníků'!G23)="d",MIN('Soupis výdajů'!$D$47,MAX('Soupis výdajů'!$D$47-30,40)),IF(LOWER('Seznam účastníků'!G23)="i",MIN('Soupis výdajů'!$D$47,MAX('Soupis výdajů'!$D$47-40,30)),IF(LOWER('Seznam účastníků'!G23)="v",MIN('Soupis výdajů'!$D$47,MAX('Soupis výdajů'!$D$47-50,20)),IF(LOWER('Seznam účastníků'!G23)="h",0,IF(LOWER('Seznam účastníků'!G23)="n",'Soupis výdajů'!$D$47,IF(ISBLANK('Seznam účastníků'!G23),"","? dítě, instruktor, vedoucí, hlavní, nečlen ?"))))))</f>
        <v/>
      </c>
    </row>
    <row r="17" customFormat="false" ht="12.75" hidden="false" customHeight="false" outlineLevel="0" collapsed="false">
      <c r="B17" s="235" t="str">
        <f aca="false">IF(NOT(ISBLANK('Seznam účastníků'!A24)),'Seznam účastníků'!A24,"")</f>
        <v/>
      </c>
      <c r="C17" s="235" t="str">
        <f aca="false">IF(NOT(ISBLANK('Seznam účastníků'!B24)),'Seznam účastníků'!B24,"")</f>
        <v/>
      </c>
      <c r="D17" s="230" t="str">
        <f aca="false">IF(NOT(ISBLANK('Seznam účastníků'!B24)),$B$6-$B$5+1,"")</f>
        <v/>
      </c>
      <c r="E17" s="236" t="str">
        <f aca="false">IF(NOT(ISBLANK('Seznam účastníků'!B24)),IF(ISNUMBER(G17),D17*G17,G17),"")</f>
        <v/>
      </c>
      <c r="G17" s="236" t="str">
        <f aca="false">IF(LOWER('Seznam účastníků'!G24)="d",MIN('Soupis výdajů'!$D$47,MAX('Soupis výdajů'!$D$47-30,40)),IF(LOWER('Seznam účastníků'!G24)="i",MIN('Soupis výdajů'!$D$47,MAX('Soupis výdajů'!$D$47-40,30)),IF(LOWER('Seznam účastníků'!G24)="v",MIN('Soupis výdajů'!$D$47,MAX('Soupis výdajů'!$D$47-50,20)),IF(LOWER('Seznam účastníků'!G24)="h",0,IF(LOWER('Seznam účastníků'!G24)="n",'Soupis výdajů'!$D$47,IF(ISBLANK('Seznam účastníků'!G24),"","? dítě, instruktor, vedoucí, hlavní, nečlen ?"))))))</f>
        <v/>
      </c>
    </row>
    <row r="18" customFormat="false" ht="12.75" hidden="false" customHeight="false" outlineLevel="0" collapsed="false">
      <c r="B18" s="235" t="str">
        <f aca="false">IF(NOT(ISBLANK('Seznam účastníků'!A25)),'Seznam účastníků'!A25,"")</f>
        <v/>
      </c>
      <c r="C18" s="235" t="str">
        <f aca="false">IF(NOT(ISBLANK('Seznam účastníků'!B25)),'Seznam účastníků'!B25,"")</f>
        <v/>
      </c>
      <c r="D18" s="230" t="str">
        <f aca="false">IF(NOT(ISBLANK('Seznam účastníků'!B25)),$B$6-$B$5+1,"")</f>
        <v/>
      </c>
      <c r="E18" s="236" t="str">
        <f aca="false">IF(NOT(ISBLANK('Seznam účastníků'!B25)),IF(ISNUMBER(G18),D18*G18,G18),"")</f>
        <v/>
      </c>
      <c r="G18" s="236" t="str">
        <f aca="false">IF(LOWER('Seznam účastníků'!G25)="d",MIN('Soupis výdajů'!$D$47,MAX('Soupis výdajů'!$D$47-30,40)),IF(LOWER('Seznam účastníků'!G25)="i",MIN('Soupis výdajů'!$D$47,MAX('Soupis výdajů'!$D$47-40,30)),IF(LOWER('Seznam účastníků'!G25)="v",MIN('Soupis výdajů'!$D$47,MAX('Soupis výdajů'!$D$47-50,20)),IF(LOWER('Seznam účastníků'!G25)="h",0,IF(LOWER('Seznam účastníků'!G25)="n",'Soupis výdajů'!$D$47,IF(ISBLANK('Seznam účastníků'!G25),"","? dítě, instruktor, vedoucí, hlavní, nečlen ?"))))))</f>
        <v/>
      </c>
    </row>
    <row r="19" customFormat="false" ht="12.75" hidden="false" customHeight="false" outlineLevel="0" collapsed="false">
      <c r="B19" s="235" t="str">
        <f aca="false">IF(NOT(ISBLANK('Seznam účastníků'!A26)),'Seznam účastníků'!A26,"")</f>
        <v/>
      </c>
      <c r="C19" s="235" t="str">
        <f aca="false">IF(NOT(ISBLANK('Seznam účastníků'!B26)),'Seznam účastníků'!B26,"")</f>
        <v/>
      </c>
      <c r="D19" s="230" t="str">
        <f aca="false">IF(NOT(ISBLANK('Seznam účastníků'!B26)),$B$6-$B$5+1,"")</f>
        <v/>
      </c>
      <c r="E19" s="236" t="str">
        <f aca="false">IF(NOT(ISBLANK('Seznam účastníků'!B26)),IF(ISNUMBER(G19),D19*G19,G19),"")</f>
        <v/>
      </c>
      <c r="G19" s="236" t="str">
        <f aca="false">IF(LOWER('Seznam účastníků'!G26)="d",MIN('Soupis výdajů'!$D$47,MAX('Soupis výdajů'!$D$47-30,40)),IF(LOWER('Seznam účastníků'!G26)="i",MIN('Soupis výdajů'!$D$47,MAX('Soupis výdajů'!$D$47-40,30)),IF(LOWER('Seznam účastníků'!G26)="v",MIN('Soupis výdajů'!$D$47,MAX('Soupis výdajů'!$D$47-50,20)),IF(LOWER('Seznam účastníků'!G26)="h",0,IF(LOWER('Seznam účastníků'!G26)="n",'Soupis výdajů'!$D$47,IF(ISBLANK('Seznam účastníků'!G26),"","? dítě, instruktor, vedoucí, hlavní, nečlen ?"))))))</f>
        <v/>
      </c>
    </row>
    <row r="20" customFormat="false" ht="12.75" hidden="false" customHeight="false" outlineLevel="0" collapsed="false">
      <c r="B20" s="235" t="str">
        <f aca="false">IF(NOT(ISBLANK('Seznam účastníků'!A27)),'Seznam účastníků'!A27,"")</f>
        <v/>
      </c>
      <c r="C20" s="235" t="str">
        <f aca="false">IF(NOT(ISBLANK('Seznam účastníků'!B27)),'Seznam účastníků'!B27,"")</f>
        <v/>
      </c>
      <c r="D20" s="230" t="str">
        <f aca="false">IF(NOT(ISBLANK('Seznam účastníků'!B27)),$B$6-$B$5+1,"")</f>
        <v/>
      </c>
      <c r="E20" s="236" t="str">
        <f aca="false">IF(NOT(ISBLANK('Seznam účastníků'!B27)),IF(ISNUMBER(G20),D20*G20,G20),"")</f>
        <v/>
      </c>
      <c r="G20" s="236" t="str">
        <f aca="false">IF(LOWER('Seznam účastníků'!G27)="d",MIN('Soupis výdajů'!$D$47,MAX('Soupis výdajů'!$D$47-30,40)),IF(LOWER('Seznam účastníků'!G27)="i",MIN('Soupis výdajů'!$D$47,MAX('Soupis výdajů'!$D$47-40,30)),IF(LOWER('Seznam účastníků'!G27)="v",MIN('Soupis výdajů'!$D$47,MAX('Soupis výdajů'!$D$47-50,20)),IF(LOWER('Seznam účastníků'!G27)="h",0,IF(LOWER('Seznam účastníků'!G27)="n",'Soupis výdajů'!$D$47,IF(ISBLANK('Seznam účastníků'!G27),"","? dítě, instruktor, vedoucí, hlavní, nečlen ?"))))))</f>
        <v/>
      </c>
    </row>
    <row r="21" customFormat="false" ht="12.75" hidden="false" customHeight="false" outlineLevel="0" collapsed="false">
      <c r="B21" s="235" t="str">
        <f aca="false">IF(NOT(ISBLANK('Seznam účastníků'!A28)),'Seznam účastníků'!A28,"")</f>
        <v/>
      </c>
      <c r="C21" s="235" t="str">
        <f aca="false">IF(NOT(ISBLANK('Seznam účastníků'!B28)),'Seznam účastníků'!B28,"")</f>
        <v/>
      </c>
      <c r="D21" s="230" t="str">
        <f aca="false">IF(NOT(ISBLANK('Seznam účastníků'!B28)),$B$6-$B$5+1,"")</f>
        <v/>
      </c>
      <c r="E21" s="236" t="str">
        <f aca="false">IF(NOT(ISBLANK('Seznam účastníků'!B28)),IF(ISNUMBER(G21),D21*G21,G21),"")</f>
        <v/>
      </c>
      <c r="F21" s="236"/>
      <c r="G21" s="236" t="str">
        <f aca="false">IF(LOWER('Seznam účastníků'!G28)="d",MIN('Soupis výdajů'!$D$47,MAX('Soupis výdajů'!$D$47-30,40)),IF(LOWER('Seznam účastníků'!G28)="i",MIN('Soupis výdajů'!$D$47,MAX('Soupis výdajů'!$D$47-40,30)),IF(LOWER('Seznam účastníků'!G28)="v",MIN('Soupis výdajů'!$D$47,MAX('Soupis výdajů'!$D$47-50,20)),IF(LOWER('Seznam účastníků'!G28)="h",0,IF(LOWER('Seznam účastníků'!G28)="n",'Soupis výdajů'!$D$47,IF(ISBLANK('Seznam účastníků'!G28),"","? dítě, instruktor, vedoucí, hlavní, nečlen ?"))))))</f>
        <v/>
      </c>
    </row>
    <row r="22" customFormat="false" ht="12.75" hidden="false" customHeight="false" outlineLevel="0" collapsed="false">
      <c r="B22" s="235" t="str">
        <f aca="false">IF(NOT(ISBLANK('Seznam účastníků'!A29)),'Seznam účastníků'!A29,"")</f>
        <v/>
      </c>
      <c r="C22" s="235" t="str">
        <f aca="false">IF(NOT(ISBLANK('Seznam účastníků'!B29)),'Seznam účastníků'!B29,"")</f>
        <v/>
      </c>
      <c r="D22" s="230" t="str">
        <f aca="false">IF(NOT(ISBLANK('Seznam účastníků'!B29)),$B$6-$B$5+1,"")</f>
        <v/>
      </c>
      <c r="E22" s="236" t="str">
        <f aca="false">IF(NOT(ISBLANK('Seznam účastníků'!B29)),IF(ISNUMBER(G22),D22*G22,G22),"")</f>
        <v/>
      </c>
      <c r="F22" s="236"/>
      <c r="G22" s="236" t="str">
        <f aca="false">IF(LOWER('Seznam účastníků'!G29)="d",MIN('Soupis výdajů'!$D$47,MAX('Soupis výdajů'!$D$47-30,40)),IF(LOWER('Seznam účastníků'!G29)="i",MIN('Soupis výdajů'!$D$47,MAX('Soupis výdajů'!$D$47-40,30)),IF(LOWER('Seznam účastníků'!G29)="v",MIN('Soupis výdajů'!$D$47,MAX('Soupis výdajů'!$D$47-50,20)),IF(LOWER('Seznam účastníků'!G29)="h",0,IF(LOWER('Seznam účastníků'!G29)="n",'Soupis výdajů'!$D$47,IF(ISBLANK('Seznam účastníků'!G29),"","? dítě, instruktor, vedoucí, hlavní, nečlen ?"))))))</f>
        <v/>
      </c>
    </row>
    <row r="23" customFormat="false" ht="12.75" hidden="false" customHeight="false" outlineLevel="0" collapsed="false">
      <c r="B23" s="235" t="str">
        <f aca="false">IF(NOT(ISBLANK('Seznam účastníků'!A30)),'Seznam účastníků'!A30,"")</f>
        <v/>
      </c>
      <c r="C23" s="235" t="str">
        <f aca="false">IF(NOT(ISBLANK('Seznam účastníků'!B30)),'Seznam účastníků'!B30,"")</f>
        <v/>
      </c>
      <c r="D23" s="230" t="str">
        <f aca="false">IF(NOT(ISBLANK('Seznam účastníků'!B30)),$B$6-$B$5+1,"")</f>
        <v/>
      </c>
      <c r="E23" s="236" t="str">
        <f aca="false">IF(NOT(ISBLANK('Seznam účastníků'!B30)),IF(ISNUMBER(G23),D23*G23,G23),"")</f>
        <v/>
      </c>
      <c r="F23" s="236"/>
      <c r="G23" s="236" t="str">
        <f aca="false">IF(LOWER('Seznam účastníků'!G30)="d",MIN('Soupis výdajů'!$D$47,MAX('Soupis výdajů'!$D$47-30,40)),IF(LOWER('Seznam účastníků'!G30)="i",MIN('Soupis výdajů'!$D$47,MAX('Soupis výdajů'!$D$47-40,30)),IF(LOWER('Seznam účastníků'!G30)="v",MIN('Soupis výdajů'!$D$47,MAX('Soupis výdajů'!$D$47-50,20)),IF(LOWER('Seznam účastníků'!G30)="h",0,IF(LOWER('Seznam účastníků'!G30)="n",'Soupis výdajů'!$D$47,IF(ISBLANK('Seznam účastníků'!G30),"","? dítě, instruktor, vedoucí, hlavní, nečlen ?"))))))</f>
        <v/>
      </c>
    </row>
    <row r="24" customFormat="false" ht="12.75" hidden="false" customHeight="false" outlineLevel="0" collapsed="false">
      <c r="B24" s="235" t="str">
        <f aca="false">IF(NOT(ISBLANK('Seznam účastníků'!A31)),'Seznam účastníků'!A31,"")</f>
        <v/>
      </c>
      <c r="C24" s="235" t="str">
        <f aca="false">IF(NOT(ISBLANK('Seznam účastníků'!B31)),'Seznam účastníků'!B31,"")</f>
        <v/>
      </c>
      <c r="D24" s="230" t="str">
        <f aca="false">IF(NOT(ISBLANK('Seznam účastníků'!B31)),$B$6-$B$5+1,"")</f>
        <v/>
      </c>
      <c r="E24" s="236" t="str">
        <f aca="false">IF(NOT(ISBLANK('Seznam účastníků'!B31)),IF(ISNUMBER(G24),D24*G24,G24),"")</f>
        <v/>
      </c>
      <c r="F24" s="236"/>
      <c r="G24" s="236" t="str">
        <f aca="false">IF(LOWER('Seznam účastníků'!G31)="d",MIN('Soupis výdajů'!$D$47,MAX('Soupis výdajů'!$D$47-30,40)),IF(LOWER('Seznam účastníků'!G31)="i",MIN('Soupis výdajů'!$D$47,MAX('Soupis výdajů'!$D$47-40,30)),IF(LOWER('Seznam účastníků'!G31)="v",MIN('Soupis výdajů'!$D$47,MAX('Soupis výdajů'!$D$47-50,20)),IF(LOWER('Seznam účastníků'!G31)="h",0,IF(LOWER('Seznam účastníků'!G31)="n",'Soupis výdajů'!$D$47,IF(ISBLANK('Seznam účastníků'!G31),"","? dítě, instruktor, vedoucí, hlavní, nečlen ?"))))))</f>
        <v/>
      </c>
    </row>
    <row r="25" customFormat="false" ht="12.75" hidden="false" customHeight="false" outlineLevel="0" collapsed="false">
      <c r="B25" s="235" t="str">
        <f aca="false">IF(NOT(ISBLANK('Seznam účastníků'!A32)),'Seznam účastníků'!A32,"")</f>
        <v/>
      </c>
      <c r="C25" s="235" t="str">
        <f aca="false">IF(NOT(ISBLANK('Seznam účastníků'!B32)),'Seznam účastníků'!B32,"")</f>
        <v/>
      </c>
      <c r="D25" s="230" t="str">
        <f aca="false">IF(NOT(ISBLANK('Seznam účastníků'!B32)),$B$6-$B$5+1,"")</f>
        <v/>
      </c>
      <c r="E25" s="236" t="str">
        <f aca="false">IF(NOT(ISBLANK('Seznam účastníků'!B32)),IF(ISNUMBER(G25),D25*G25,G25),"")</f>
        <v/>
      </c>
      <c r="F25" s="236"/>
      <c r="G25" s="236" t="str">
        <f aca="false">IF(LOWER('Seznam účastníků'!G32)="d",MIN('Soupis výdajů'!$D$47,MAX('Soupis výdajů'!$D$47-30,40)),IF(LOWER('Seznam účastníků'!G32)="i",MIN('Soupis výdajů'!$D$47,MAX('Soupis výdajů'!$D$47-40,30)),IF(LOWER('Seznam účastníků'!G32)="v",MIN('Soupis výdajů'!$D$47,MAX('Soupis výdajů'!$D$47-50,20)),IF(LOWER('Seznam účastníků'!G32)="h",0,IF(LOWER('Seznam účastníků'!G32)="n",'Soupis výdajů'!$D$47,IF(ISBLANK('Seznam účastníků'!G32),"","? dítě, instruktor, vedoucí, hlavní, nečlen ?"))))))</f>
        <v/>
      </c>
    </row>
    <row r="26" customFormat="false" ht="12.75" hidden="false" customHeight="false" outlineLevel="0" collapsed="false">
      <c r="B26" s="235" t="str">
        <f aca="false">IF(NOT(ISBLANK('Seznam účastníků'!A33)),'Seznam účastníků'!A33,"")</f>
        <v/>
      </c>
      <c r="C26" s="235" t="str">
        <f aca="false">IF(NOT(ISBLANK('Seznam účastníků'!B33)),'Seznam účastníků'!B33,"")</f>
        <v/>
      </c>
      <c r="D26" s="230" t="str">
        <f aca="false">IF(NOT(ISBLANK('Seznam účastníků'!B33)),$B$6-$B$5+1,"")</f>
        <v/>
      </c>
      <c r="E26" s="236" t="str">
        <f aca="false">IF(NOT(ISBLANK('Seznam účastníků'!B33)),IF(ISNUMBER(G26),D26*G26,G26),"")</f>
        <v/>
      </c>
      <c r="F26" s="236"/>
      <c r="G26" s="236" t="str">
        <f aca="false">IF(LOWER('Seznam účastníků'!G33)="d",MIN('Soupis výdajů'!$D$47,MAX('Soupis výdajů'!$D$47-30,40)),IF(LOWER('Seznam účastníků'!G33)="i",MIN('Soupis výdajů'!$D$47,MAX('Soupis výdajů'!$D$47-40,30)),IF(LOWER('Seznam účastníků'!G33)="v",MIN('Soupis výdajů'!$D$47,MAX('Soupis výdajů'!$D$47-50,20)),IF(LOWER('Seznam účastníků'!G33)="h",0,IF(LOWER('Seznam účastníků'!G33)="n",'Soupis výdajů'!$D$47,IF(ISBLANK('Seznam účastníků'!G33),"","? dítě, instruktor, vedoucí, hlavní, nečlen ?"))))))</f>
        <v/>
      </c>
    </row>
    <row r="27" customFormat="false" ht="12.75" hidden="false" customHeight="false" outlineLevel="0" collapsed="false">
      <c r="B27" s="235" t="str">
        <f aca="false">IF(NOT(ISBLANK('Seznam účastníků'!A34)),'Seznam účastníků'!A34,"")</f>
        <v/>
      </c>
      <c r="C27" s="235" t="str">
        <f aca="false">IF(NOT(ISBLANK('Seznam účastníků'!B34)),'Seznam účastníků'!B34,"")</f>
        <v/>
      </c>
      <c r="D27" s="230" t="str">
        <f aca="false">IF(NOT(ISBLANK('Seznam účastníků'!B34)),$B$6-$B$5+1,"")</f>
        <v/>
      </c>
      <c r="E27" s="236" t="str">
        <f aca="false">IF(NOT(ISBLANK('Seznam účastníků'!B34)),IF(ISNUMBER(G27),D27*G27,G27),"")</f>
        <v/>
      </c>
      <c r="F27" s="236"/>
      <c r="G27" s="236" t="str">
        <f aca="false">IF(LOWER('Seznam účastníků'!G34)="d",MIN('Soupis výdajů'!$D$47,MAX('Soupis výdajů'!$D$47-30,40)),IF(LOWER('Seznam účastníků'!G34)="i",MIN('Soupis výdajů'!$D$47,MAX('Soupis výdajů'!$D$47-40,30)),IF(LOWER('Seznam účastníků'!G34)="v",MIN('Soupis výdajů'!$D$47,MAX('Soupis výdajů'!$D$47-50,20)),IF(LOWER('Seznam účastníků'!G34)="h",0,IF(LOWER('Seznam účastníků'!G34)="n",'Soupis výdajů'!$D$47,IF(ISBLANK('Seznam účastníků'!G34),"","? dítě, instruktor, vedoucí, hlavní, nečlen ?"))))))</f>
        <v/>
      </c>
    </row>
    <row r="28" customFormat="false" ht="12.75" hidden="false" customHeight="false" outlineLevel="0" collapsed="false">
      <c r="B28" s="235" t="str">
        <f aca="false">IF(NOT(ISBLANK('Seznam účastníků'!A35)),'Seznam účastníků'!A35,"")</f>
        <v/>
      </c>
      <c r="C28" s="235" t="str">
        <f aca="false">IF(NOT(ISBLANK('Seznam účastníků'!B35)),'Seznam účastníků'!B35,"")</f>
        <v/>
      </c>
      <c r="D28" s="230" t="str">
        <f aca="false">IF(NOT(ISBLANK('Seznam účastníků'!B35)),$B$6-$B$5+1,"")</f>
        <v/>
      </c>
      <c r="E28" s="236" t="str">
        <f aca="false">IF(NOT(ISBLANK('Seznam účastníků'!B35)),IF(ISNUMBER(G28),D28*G28,G28),"")</f>
        <v/>
      </c>
      <c r="F28" s="236"/>
      <c r="G28" s="236" t="str">
        <f aca="false">IF(LOWER('Seznam účastníků'!G35)="d",MIN('Soupis výdajů'!$D$47,MAX('Soupis výdajů'!$D$47-30,40)),IF(LOWER('Seznam účastníků'!G35)="i",MIN('Soupis výdajů'!$D$47,MAX('Soupis výdajů'!$D$47-40,30)),IF(LOWER('Seznam účastníků'!G35)="v",MIN('Soupis výdajů'!$D$47,MAX('Soupis výdajů'!$D$47-50,20)),IF(LOWER('Seznam účastníků'!G35)="h",0,IF(LOWER('Seznam účastníků'!G35)="n",'Soupis výdajů'!$D$47,IF(ISBLANK('Seznam účastníků'!G35),"","? dítě, instruktor, vedoucí, hlavní, nečlen ?"))))))</f>
        <v/>
      </c>
    </row>
    <row r="29" customFormat="false" ht="12.75" hidden="false" customHeight="false" outlineLevel="0" collapsed="false">
      <c r="B29" s="235" t="str">
        <f aca="false">IF(NOT(ISBLANK('Seznam účastníků'!A36)),'Seznam účastníků'!A36,"")</f>
        <v/>
      </c>
      <c r="C29" s="235" t="str">
        <f aca="false">IF(NOT(ISBLANK('Seznam účastníků'!B36)),'Seznam účastníků'!B36,"")</f>
        <v/>
      </c>
      <c r="D29" s="230" t="str">
        <f aca="false">IF(NOT(ISBLANK('Seznam účastníků'!B36)),$B$6-$B$5+1,"")</f>
        <v/>
      </c>
      <c r="E29" s="236" t="str">
        <f aca="false">IF(NOT(ISBLANK('Seznam účastníků'!B36)),IF(ISNUMBER(G29),D29*G29,G29),"")</f>
        <v/>
      </c>
      <c r="F29" s="236"/>
      <c r="G29" s="236" t="str">
        <f aca="false">IF(LOWER('Seznam účastníků'!G36)="d",MIN('Soupis výdajů'!$D$47,MAX('Soupis výdajů'!$D$47-30,40)),IF(LOWER('Seznam účastníků'!G36)="i",MIN('Soupis výdajů'!$D$47,MAX('Soupis výdajů'!$D$47-40,30)),IF(LOWER('Seznam účastníků'!G36)="v",MIN('Soupis výdajů'!$D$47,MAX('Soupis výdajů'!$D$47-50,20)),IF(LOWER('Seznam účastníků'!G36)="h",0,IF(LOWER('Seznam účastníků'!G36)="n",'Soupis výdajů'!$D$47,IF(ISBLANK('Seznam účastníků'!G36),"","? dítě, instruktor, vedoucí, hlavní, nečlen ?"))))))</f>
        <v/>
      </c>
    </row>
    <row r="30" customFormat="false" ht="12.75" hidden="false" customHeight="false" outlineLevel="0" collapsed="false">
      <c r="B30" s="235" t="str">
        <f aca="false">IF(NOT(ISBLANK('Seznam účastníků'!A37)),'Seznam účastníků'!A37,"")</f>
        <v/>
      </c>
      <c r="C30" s="235" t="str">
        <f aca="false">IF(NOT(ISBLANK('Seznam účastníků'!B37)),'Seznam účastníků'!B37,"")</f>
        <v/>
      </c>
      <c r="D30" s="230" t="str">
        <f aca="false">IF(NOT(ISBLANK('Seznam účastníků'!B37)),$B$6-$B$5+1,"")</f>
        <v/>
      </c>
      <c r="E30" s="236" t="str">
        <f aca="false">IF(NOT(ISBLANK('Seznam účastníků'!B37)),IF(ISNUMBER(G30),D30*G30,G30),"")</f>
        <v/>
      </c>
      <c r="F30" s="236"/>
      <c r="G30" s="236" t="str">
        <f aca="false">IF(LOWER('Seznam účastníků'!G37)="d",MIN('Soupis výdajů'!$D$47,MAX('Soupis výdajů'!$D$47-30,40)),IF(LOWER('Seznam účastníků'!G37)="i",MIN('Soupis výdajů'!$D$47,MAX('Soupis výdajů'!$D$47-40,30)),IF(LOWER('Seznam účastníků'!G37)="v",MIN('Soupis výdajů'!$D$47,MAX('Soupis výdajů'!$D$47-50,20)),IF(LOWER('Seznam účastníků'!G37)="h",0,IF(LOWER('Seznam účastníků'!G37)="n",'Soupis výdajů'!$D$47,IF(ISBLANK('Seznam účastníků'!G37),"","? dítě, instruktor, vedoucí, hlavní, nečlen ?"))))))</f>
        <v/>
      </c>
    </row>
    <row r="31" customFormat="false" ht="12.75" hidden="false" customHeight="false" outlineLevel="0" collapsed="false">
      <c r="B31" s="235" t="str">
        <f aca="false">IF(NOT(ISBLANK('Seznam účastníků'!A38)),'Seznam účastníků'!A38,"")</f>
        <v/>
      </c>
      <c r="C31" s="235" t="str">
        <f aca="false">IF(NOT(ISBLANK('Seznam účastníků'!B38)),'Seznam účastníků'!B38,"")</f>
        <v/>
      </c>
      <c r="D31" s="230" t="str">
        <f aca="false">IF(NOT(ISBLANK('Seznam účastníků'!B38)),$B$6-$B$5+1,"")</f>
        <v/>
      </c>
      <c r="E31" s="236" t="str">
        <f aca="false">IF(NOT(ISBLANK('Seznam účastníků'!B38)),IF(ISNUMBER(G31),D31*G31,G31),"")</f>
        <v/>
      </c>
      <c r="F31" s="236"/>
      <c r="G31" s="236" t="str">
        <f aca="false">IF(LOWER('Seznam účastníků'!G38)="d",MIN('Soupis výdajů'!$D$47,MAX('Soupis výdajů'!$D$47-30,40)),IF(LOWER('Seznam účastníků'!G38)="i",MIN('Soupis výdajů'!$D$47,MAX('Soupis výdajů'!$D$47-40,30)),IF(LOWER('Seznam účastníků'!G38)="v",MIN('Soupis výdajů'!$D$47,MAX('Soupis výdajů'!$D$47-50,20)),IF(LOWER('Seznam účastníků'!G38)="h",0,IF(LOWER('Seznam účastníků'!G38)="n",'Soupis výdajů'!$D$47,IF(ISBLANK('Seznam účastníků'!G38),"","? dítě, instruktor, vedoucí, hlavní, nečlen ?"))))))</f>
        <v/>
      </c>
    </row>
    <row r="32" customFormat="false" ht="12.75" hidden="false" customHeight="false" outlineLevel="0" collapsed="false">
      <c r="B32" s="235" t="str">
        <f aca="false">IF(NOT(ISBLANK('Seznam účastníků'!A39)),'Seznam účastníků'!A39,"")</f>
        <v/>
      </c>
      <c r="C32" s="235" t="str">
        <f aca="false">IF(NOT(ISBLANK('Seznam účastníků'!B39)),'Seznam účastníků'!B39,"")</f>
        <v/>
      </c>
      <c r="D32" s="230" t="str">
        <f aca="false">IF(NOT(ISBLANK('Seznam účastníků'!B39)),$B$6-$B$5+1,"")</f>
        <v/>
      </c>
      <c r="E32" s="236" t="str">
        <f aca="false">IF(NOT(ISBLANK('Seznam účastníků'!B39)),IF(ISNUMBER(G32),D32*G32,G32),"")</f>
        <v/>
      </c>
      <c r="F32" s="236"/>
      <c r="G32" s="236" t="str">
        <f aca="false">IF(LOWER('Seznam účastníků'!G39)="d",MIN('Soupis výdajů'!$D$47,MAX('Soupis výdajů'!$D$47-30,40)),IF(LOWER('Seznam účastníků'!G39)="i",MIN('Soupis výdajů'!$D$47,MAX('Soupis výdajů'!$D$47-40,30)),IF(LOWER('Seznam účastníků'!G39)="v",MIN('Soupis výdajů'!$D$47,MAX('Soupis výdajů'!$D$47-50,20)),IF(LOWER('Seznam účastníků'!G39)="h",0,IF(LOWER('Seznam účastníků'!G39)="n",'Soupis výdajů'!$D$47,IF(ISBLANK('Seznam účastníků'!G39),"","? dítě, instruktor, vedoucí, hlavní, nečlen ?"))))))</f>
        <v/>
      </c>
    </row>
    <row r="33" customFormat="false" ht="12.75" hidden="false" customHeight="false" outlineLevel="0" collapsed="false">
      <c r="B33" s="235" t="str">
        <f aca="false">IF(NOT(ISBLANK('Seznam účastníků'!A40)),'Seznam účastníků'!A40,"")</f>
        <v/>
      </c>
      <c r="C33" s="235" t="str">
        <f aca="false">IF(NOT(ISBLANK('Seznam účastníků'!B40)),'Seznam účastníků'!B40,"")</f>
        <v/>
      </c>
      <c r="D33" s="230" t="str">
        <f aca="false">IF(NOT(ISBLANK('Seznam účastníků'!B40)),$B$6-$B$5+1,"")</f>
        <v/>
      </c>
      <c r="E33" s="236" t="str">
        <f aca="false">IF(NOT(ISBLANK('Seznam účastníků'!B40)),IF(ISNUMBER(G33),D33*G33,G33),"")</f>
        <v/>
      </c>
      <c r="F33" s="236"/>
      <c r="G33" s="236" t="str">
        <f aca="false">IF(LOWER('Seznam účastníků'!G40)="d",MIN('Soupis výdajů'!$D$47,MAX('Soupis výdajů'!$D$47-30,40)),IF(LOWER('Seznam účastníků'!G40)="i",MIN('Soupis výdajů'!$D$47,MAX('Soupis výdajů'!$D$47-40,30)),IF(LOWER('Seznam účastníků'!G40)="v",MIN('Soupis výdajů'!$D$47,MAX('Soupis výdajů'!$D$47-50,20)),IF(LOWER('Seznam účastníků'!G40)="h",0,IF(LOWER('Seznam účastníků'!G40)="n",'Soupis výdajů'!$D$47,IF(ISBLANK('Seznam účastníků'!G40),"","? dítě, instruktor, vedoucí, hlavní, nečlen ?"))))))</f>
        <v/>
      </c>
    </row>
    <row r="34" customFormat="false" ht="12.75" hidden="false" customHeight="false" outlineLevel="0" collapsed="false">
      <c r="B34" s="235" t="str">
        <f aca="false">IF(NOT(ISBLANK('Seznam účastníků'!A41)),'Seznam účastníků'!A41,"")</f>
        <v/>
      </c>
      <c r="C34" s="235" t="str">
        <f aca="false">IF(NOT(ISBLANK('Seznam účastníků'!B41)),'Seznam účastníků'!B41,"")</f>
        <v/>
      </c>
      <c r="D34" s="230" t="str">
        <f aca="false">IF(NOT(ISBLANK('Seznam účastníků'!B41)),$B$6-$B$5+1,"")</f>
        <v/>
      </c>
      <c r="E34" s="236" t="str">
        <f aca="false">IF(NOT(ISBLANK('Seznam účastníků'!B41)),IF(ISNUMBER(G34),D34*G34,G34),"")</f>
        <v/>
      </c>
      <c r="F34" s="236"/>
      <c r="G34" s="236" t="str">
        <f aca="false">IF(LOWER('Seznam účastníků'!G41)="d",MIN('Soupis výdajů'!$D$47,MAX('Soupis výdajů'!$D$47-30,40)),IF(LOWER('Seznam účastníků'!G41)="i",MIN('Soupis výdajů'!$D$47,MAX('Soupis výdajů'!$D$47-40,30)),IF(LOWER('Seznam účastníků'!G41)="v",MIN('Soupis výdajů'!$D$47,MAX('Soupis výdajů'!$D$47-50,20)),IF(LOWER('Seznam účastníků'!G41)="h",0,IF(LOWER('Seznam účastníků'!G41)="n",'Soupis výdajů'!$D$47,IF(ISBLANK('Seznam účastníků'!G41),"","? dítě, instruktor, vedoucí, hlavní, nečlen ?"))))))</f>
        <v/>
      </c>
    </row>
    <row r="35" customFormat="false" ht="12.75" hidden="false" customHeight="false" outlineLevel="0" collapsed="false">
      <c r="B35" s="235" t="str">
        <f aca="false">IF(NOT(ISBLANK('Seznam účastníků'!A42)),'Seznam účastníků'!A42,"")</f>
        <v/>
      </c>
      <c r="C35" s="235" t="str">
        <f aca="false">IF(NOT(ISBLANK('Seznam účastníků'!B42)),'Seznam účastníků'!B42,"")</f>
        <v/>
      </c>
      <c r="D35" s="230" t="str">
        <f aca="false">IF(NOT(ISBLANK('Seznam účastníků'!B42)),$B$6-$B$5+1,"")</f>
        <v/>
      </c>
      <c r="E35" s="236" t="str">
        <f aca="false">IF(NOT(ISBLANK('Seznam účastníků'!B42)),IF(ISNUMBER(G35),D35*G35,G35),"")</f>
        <v/>
      </c>
      <c r="F35" s="236"/>
      <c r="G35" s="236" t="str">
        <f aca="false">IF(LOWER('Seznam účastníků'!G42)="d",MIN('Soupis výdajů'!$D$47,MAX('Soupis výdajů'!$D$47-30,40)),IF(LOWER('Seznam účastníků'!G42)="i",MIN('Soupis výdajů'!$D$47,MAX('Soupis výdajů'!$D$47-40,30)),IF(LOWER('Seznam účastníků'!G42)="v",MIN('Soupis výdajů'!$D$47,MAX('Soupis výdajů'!$D$47-50,20)),IF(LOWER('Seznam účastníků'!G42)="h",0,IF(LOWER('Seznam účastníků'!G42)="n",'Soupis výdajů'!$D$47,IF(ISBLANK('Seznam účastníků'!G42),"","? dítě, instruktor, vedoucí, hlavní, nečlen ?"))))))</f>
        <v/>
      </c>
    </row>
    <row r="36" customFormat="false" ht="12.75" hidden="false" customHeight="false" outlineLevel="0" collapsed="false">
      <c r="B36" s="235" t="str">
        <f aca="false">IF(NOT(ISBLANK('Seznam účastníků'!A43)),'Seznam účastníků'!A43,"")</f>
        <v/>
      </c>
      <c r="C36" s="235" t="str">
        <f aca="false">IF(NOT(ISBLANK('Seznam účastníků'!B43)),'Seznam účastníků'!B43,"")</f>
        <v/>
      </c>
      <c r="D36" s="230" t="str">
        <f aca="false">IF(NOT(ISBLANK('Seznam účastníků'!B43)),$B$6-$B$5+1,"")</f>
        <v/>
      </c>
      <c r="E36" s="236" t="str">
        <f aca="false">IF(NOT(ISBLANK('Seznam účastníků'!B43)),IF(ISNUMBER(G36),D36*G36,G36),"")</f>
        <v/>
      </c>
      <c r="F36" s="236"/>
      <c r="G36" s="236" t="str">
        <f aca="false">IF(LOWER('Seznam účastníků'!G43)="d",MIN('Soupis výdajů'!$D$47,MAX('Soupis výdajů'!$D$47-30,40)),IF(LOWER('Seznam účastníků'!G43)="i",MIN('Soupis výdajů'!$D$47,MAX('Soupis výdajů'!$D$47-40,30)),IF(LOWER('Seznam účastníků'!G43)="v",MIN('Soupis výdajů'!$D$47,MAX('Soupis výdajů'!$D$47-50,20)),IF(LOWER('Seznam účastníků'!G43)="h",0,IF(LOWER('Seznam účastníků'!G43)="n",'Soupis výdajů'!$D$47,IF(ISBLANK('Seznam účastníků'!G43),"","? dítě, instruktor, vedoucí, hlavní, nečlen ?"))))))</f>
        <v/>
      </c>
    </row>
    <row r="37" customFormat="false" ht="12.75" hidden="false" customHeight="false" outlineLevel="0" collapsed="false">
      <c r="B37" s="235" t="str">
        <f aca="false">IF(NOT(ISBLANK('Seznam účastníků'!A44)),'Seznam účastníků'!A44,"")</f>
        <v/>
      </c>
      <c r="C37" s="235" t="str">
        <f aca="false">IF(NOT(ISBLANK('Seznam účastníků'!B44)),'Seznam účastníků'!B44,"")</f>
        <v/>
      </c>
      <c r="D37" s="230" t="str">
        <f aca="false">IF(NOT(ISBLANK('Seznam účastníků'!B44)),$B$6-$B$5+1,"")</f>
        <v/>
      </c>
      <c r="E37" s="236" t="str">
        <f aca="false">IF(NOT(ISBLANK('Seznam účastníků'!B44)),IF(ISNUMBER(G37),D37*G37,G37),"")</f>
        <v/>
      </c>
      <c r="F37" s="236"/>
      <c r="G37" s="236" t="str">
        <f aca="false">IF(LOWER('Seznam účastníků'!G44)="d",MIN('Soupis výdajů'!$D$47,MAX('Soupis výdajů'!$D$47-30,40)),IF(LOWER('Seznam účastníků'!G44)="i",MIN('Soupis výdajů'!$D$47,MAX('Soupis výdajů'!$D$47-40,30)),IF(LOWER('Seznam účastníků'!G44)="v",MIN('Soupis výdajů'!$D$47,MAX('Soupis výdajů'!$D$47-50,20)),IF(LOWER('Seznam účastníků'!G44)="h",0,IF(LOWER('Seznam účastníků'!G44)="n",'Soupis výdajů'!$D$47,IF(ISBLANK('Seznam účastníků'!G44),"","? dítě, instruktor, vedoucí, hlavní, nečlen ?"))))))</f>
        <v/>
      </c>
    </row>
    <row r="38" customFormat="false" ht="12.75" hidden="false" customHeight="false" outlineLevel="0" collapsed="false">
      <c r="B38" s="235" t="str">
        <f aca="false">IF(NOT(ISBLANK('Seznam účastníků'!A45)),'Seznam účastníků'!A45,"")</f>
        <v/>
      </c>
      <c r="C38" s="235" t="str">
        <f aca="false">IF(NOT(ISBLANK('Seznam účastníků'!B45)),'Seznam účastníků'!B45,"")</f>
        <v/>
      </c>
      <c r="D38" s="230" t="str">
        <f aca="false">IF(NOT(ISBLANK('Seznam účastníků'!B45)),$B$6-$B$5+1,"")</f>
        <v/>
      </c>
      <c r="E38" s="236" t="str">
        <f aca="false">IF(NOT(ISBLANK('Seznam účastníků'!B45)),IF(ISNUMBER(G38),D38*G38,G38),"")</f>
        <v/>
      </c>
      <c r="F38" s="236"/>
      <c r="G38" s="236" t="str">
        <f aca="false">IF(LOWER('Seznam účastníků'!G45)="d",MIN('Soupis výdajů'!$D$47,MAX('Soupis výdajů'!$D$47-30,40)),IF(LOWER('Seznam účastníků'!G45)="i",MIN('Soupis výdajů'!$D$47,MAX('Soupis výdajů'!$D$47-40,30)),IF(LOWER('Seznam účastníků'!G45)="v",MIN('Soupis výdajů'!$D$47,MAX('Soupis výdajů'!$D$47-50,20)),IF(LOWER('Seznam účastníků'!G45)="h",0,IF(LOWER('Seznam účastníků'!G45)="n",'Soupis výdajů'!$D$47,IF(ISBLANK('Seznam účastníků'!G45),"","? dítě, instruktor, vedoucí, hlavní, nečlen ?"))))))</f>
        <v/>
      </c>
    </row>
    <row r="39" customFormat="false" ht="12.75" hidden="false" customHeight="false" outlineLevel="0" collapsed="false">
      <c r="B39" s="235" t="str">
        <f aca="false">IF(NOT(ISBLANK('Seznam účastníků'!A46)),'Seznam účastníků'!A46,"")</f>
        <v/>
      </c>
      <c r="C39" s="235" t="str">
        <f aca="false">IF(NOT(ISBLANK('Seznam účastníků'!B46)),'Seznam účastníků'!B46,"")</f>
        <v/>
      </c>
      <c r="D39" s="230" t="str">
        <f aca="false">IF(NOT(ISBLANK('Seznam účastníků'!B46)),$B$6-$B$5+1,"")</f>
        <v/>
      </c>
      <c r="E39" s="236" t="str">
        <f aca="false">IF(NOT(ISBLANK('Seznam účastníků'!B46)),IF(ISNUMBER(G39),D39*G39,G39),"")</f>
        <v/>
      </c>
      <c r="F39" s="236"/>
      <c r="G39" s="236" t="str">
        <f aca="false">IF(LOWER('Seznam účastníků'!G46)="d",MIN('Soupis výdajů'!$D$47,MAX('Soupis výdajů'!$D$47-30,40)),IF(LOWER('Seznam účastníků'!G46)="i",MIN('Soupis výdajů'!$D$47,MAX('Soupis výdajů'!$D$47-40,30)),IF(LOWER('Seznam účastníků'!G46)="v",MIN('Soupis výdajů'!$D$47,MAX('Soupis výdajů'!$D$47-50,20)),IF(LOWER('Seznam účastníků'!G46)="h",0,IF(LOWER('Seznam účastníků'!G46)="n",'Soupis výdajů'!$D$47,IF(ISBLANK('Seznam účastníků'!G46),"","? dítě, instruktor, vedoucí, hlavní, nečlen ?"))))))</f>
        <v/>
      </c>
    </row>
    <row r="40" customFormat="false" ht="12.75" hidden="false" customHeight="false" outlineLevel="0" collapsed="false">
      <c r="B40" s="235" t="str">
        <f aca="false">IF(NOT(ISBLANK('Seznam účastníků'!A47)),'Seznam účastníků'!A47,"")</f>
        <v/>
      </c>
      <c r="C40" s="235" t="str">
        <f aca="false">IF(NOT(ISBLANK('Seznam účastníků'!B47)),'Seznam účastníků'!B47,"")</f>
        <v/>
      </c>
      <c r="D40" s="230" t="str">
        <f aca="false">IF(NOT(ISBLANK('Seznam účastníků'!B47)),$B$6-$B$5+1,"")</f>
        <v/>
      </c>
      <c r="E40" s="236" t="str">
        <f aca="false">IF(NOT(ISBLANK('Seznam účastníků'!B47)),IF(ISNUMBER(G40),D40*G40,G40),"")</f>
        <v/>
      </c>
      <c r="F40" s="236"/>
      <c r="G40" s="236" t="str">
        <f aca="false">IF(LOWER('Seznam účastníků'!G47)="d",MIN('Soupis výdajů'!$D$47,MAX('Soupis výdajů'!$D$47-30,40)),IF(LOWER('Seznam účastníků'!G47)="i",MIN('Soupis výdajů'!$D$47,MAX('Soupis výdajů'!$D$47-40,30)),IF(LOWER('Seznam účastníků'!G47)="v",MIN('Soupis výdajů'!$D$47,MAX('Soupis výdajů'!$D$47-50,20)),IF(LOWER('Seznam účastníků'!G47)="h",0,IF(LOWER('Seznam účastníků'!G47)="n",'Soupis výdajů'!$D$47,IF(ISBLANK('Seznam účastníků'!G47),"","? dítě, instruktor, vedoucí, hlavní, nečlen ?"))))))</f>
        <v/>
      </c>
    </row>
    <row r="41" customFormat="false" ht="12.75" hidden="false" customHeight="false" outlineLevel="0" collapsed="false">
      <c r="B41" s="235" t="str">
        <f aca="false">IF(NOT(ISBLANK('Seznam účastníků'!A48)),'Seznam účastníků'!A48,"")</f>
        <v/>
      </c>
      <c r="C41" s="235" t="str">
        <f aca="false">IF(NOT(ISBLANK('Seznam účastníků'!B48)),'Seznam účastníků'!B48,"")</f>
        <v/>
      </c>
      <c r="D41" s="230" t="str">
        <f aca="false">IF(NOT(ISBLANK('Seznam účastníků'!B48)),$B$6-$B$5+1,"")</f>
        <v/>
      </c>
      <c r="E41" s="236" t="str">
        <f aca="false">IF(NOT(ISBLANK('Seznam účastníků'!B48)),IF(ISNUMBER(G41),D41*G41,G41),"")</f>
        <v/>
      </c>
      <c r="F41" s="236"/>
      <c r="G41" s="236" t="str">
        <f aca="false">IF(LOWER('Seznam účastníků'!G48)="d",MIN('Soupis výdajů'!$D$47,MAX('Soupis výdajů'!$D$47-30,40)),IF(LOWER('Seznam účastníků'!G48)="i",MIN('Soupis výdajů'!$D$47,MAX('Soupis výdajů'!$D$47-40,30)),IF(LOWER('Seznam účastníků'!G48)="v",MIN('Soupis výdajů'!$D$47,MAX('Soupis výdajů'!$D$47-50,20)),IF(LOWER('Seznam účastníků'!G48)="h",0,IF(LOWER('Seznam účastníků'!G48)="n",'Soupis výdajů'!$D$47,IF(ISBLANK('Seznam účastníků'!G48),"","? dítě, instruktor, vedoucí, hlavní, nečlen ?"))))))</f>
        <v/>
      </c>
    </row>
    <row r="42" customFormat="false" ht="12.75" hidden="false" customHeight="false" outlineLevel="0" collapsed="false">
      <c r="B42" s="235" t="str">
        <f aca="false">IF(NOT(ISBLANK('Seznam účastníků'!A49)),'Seznam účastníků'!A49,"")</f>
        <v/>
      </c>
      <c r="C42" s="235" t="str">
        <f aca="false">IF(NOT(ISBLANK('Seznam účastníků'!B49)),'Seznam účastníků'!B49,"")</f>
        <v/>
      </c>
      <c r="D42" s="230" t="str">
        <f aca="false">IF(NOT(ISBLANK('Seznam účastníků'!B49)),$B$6-$B$5+1,"")</f>
        <v/>
      </c>
      <c r="E42" s="236" t="str">
        <f aca="false">IF(NOT(ISBLANK('Seznam účastníků'!B49)),IF(ISNUMBER(G42),D42*G42,G42),"")</f>
        <v/>
      </c>
      <c r="F42" s="236"/>
      <c r="G42" s="236" t="str">
        <f aca="false">IF(LOWER('Seznam účastníků'!G49)="d",MIN('Soupis výdajů'!$D$47,MAX('Soupis výdajů'!$D$47-30,40)),IF(LOWER('Seznam účastníků'!G49)="i",MIN('Soupis výdajů'!$D$47,MAX('Soupis výdajů'!$D$47-40,30)),IF(LOWER('Seznam účastníků'!G49)="v",MIN('Soupis výdajů'!$D$47,MAX('Soupis výdajů'!$D$47-50,20)),IF(LOWER('Seznam účastníků'!G49)="h",0,IF(LOWER('Seznam účastníků'!G49)="n",'Soupis výdajů'!$D$47,IF(ISBLANK('Seznam účastníků'!G49),"","? dítě, instruktor, vedoucí, hlavní, nečlen ?"))))))</f>
        <v/>
      </c>
    </row>
    <row r="43" customFormat="false" ht="12.75" hidden="false" customHeight="false" outlineLevel="0" collapsed="false">
      <c r="B43" s="235" t="str">
        <f aca="false">IF(NOT(ISBLANK('Seznam účastníků'!A50)),'Seznam účastníků'!A50,"")</f>
        <v/>
      </c>
      <c r="C43" s="235" t="str">
        <f aca="false">IF(NOT(ISBLANK('Seznam účastníků'!B50)),'Seznam účastníků'!B50,"")</f>
        <v/>
      </c>
      <c r="D43" s="230" t="str">
        <f aca="false">IF(NOT(ISBLANK('Seznam účastníků'!B50)),$B$6-$B$5+1,"")</f>
        <v/>
      </c>
      <c r="E43" s="236" t="str">
        <f aca="false">IF(NOT(ISBLANK('Seznam účastníků'!B50)),IF(ISNUMBER(G43),D43*G43,G43),"")</f>
        <v/>
      </c>
      <c r="F43" s="236"/>
      <c r="G43" s="236" t="str">
        <f aca="false">IF(LOWER('Seznam účastníků'!G50)="d",MIN('Soupis výdajů'!$D$47,MAX('Soupis výdajů'!$D$47-30,40)),IF(LOWER('Seznam účastníků'!G50)="i",MIN('Soupis výdajů'!$D$47,MAX('Soupis výdajů'!$D$47-40,30)),IF(LOWER('Seznam účastníků'!G50)="v",MIN('Soupis výdajů'!$D$47,MAX('Soupis výdajů'!$D$47-50,20)),IF(LOWER('Seznam účastníků'!G50)="h",0,IF(LOWER('Seznam účastníků'!G50)="n",'Soupis výdajů'!$D$47,IF(ISBLANK('Seznam účastníků'!G50),"","? dítě, instruktor, vedoucí, hlavní, nečlen ?"))))))</f>
        <v/>
      </c>
    </row>
    <row r="44" customFormat="false" ht="12.75" hidden="false" customHeight="false" outlineLevel="0" collapsed="false">
      <c r="B44" s="235" t="str">
        <f aca="false">IF(NOT(ISBLANK('Seznam účastníků'!A51)),'Seznam účastníků'!A51,"")</f>
        <v/>
      </c>
      <c r="C44" s="235" t="str">
        <f aca="false">IF(NOT(ISBLANK('Seznam účastníků'!B51)),'Seznam účastníků'!B51,"")</f>
        <v/>
      </c>
      <c r="D44" s="230" t="str">
        <f aca="false">IF(NOT(ISBLANK('Seznam účastníků'!B51)),$B$6-$B$5+1,"")</f>
        <v/>
      </c>
      <c r="E44" s="236" t="str">
        <f aca="false">IF(NOT(ISBLANK('Seznam účastníků'!B51)),IF(ISNUMBER(G44),D44*G44,G44),"")</f>
        <v/>
      </c>
      <c r="F44" s="236"/>
      <c r="G44" s="236" t="str">
        <f aca="false">IF(LOWER('Seznam účastníků'!G51)="d",MIN('Soupis výdajů'!$D$47,MAX('Soupis výdajů'!$D$47-30,40)),IF(LOWER('Seznam účastníků'!G51)="i",MIN('Soupis výdajů'!$D$47,MAX('Soupis výdajů'!$D$47-40,30)),IF(LOWER('Seznam účastníků'!G51)="v",MIN('Soupis výdajů'!$D$47,MAX('Soupis výdajů'!$D$47-50,20)),IF(LOWER('Seznam účastníků'!G51)="h",0,IF(LOWER('Seznam účastníků'!G51)="n",'Soupis výdajů'!$D$47,IF(ISBLANK('Seznam účastníků'!G51),"","? dítě, instruktor, vedoucí, hlavní, nečlen ?"))))))</f>
        <v/>
      </c>
    </row>
    <row r="45" customFormat="false" ht="12.75" hidden="false" customHeight="false" outlineLevel="0" collapsed="false">
      <c r="B45" s="235" t="str">
        <f aca="false">IF(NOT(ISBLANK('Seznam účastníků'!A52)),'Seznam účastníků'!A52,"")</f>
        <v/>
      </c>
      <c r="C45" s="235" t="str">
        <f aca="false">IF(NOT(ISBLANK('Seznam účastníků'!B52)),'Seznam účastníků'!B52,"")</f>
        <v/>
      </c>
      <c r="D45" s="230" t="str">
        <f aca="false">IF(NOT(ISBLANK('Seznam účastníků'!B52)),$B$6-$B$5+1,"")</f>
        <v/>
      </c>
      <c r="E45" s="236" t="str">
        <f aca="false">IF(NOT(ISBLANK('Seznam účastníků'!B52)),IF(ISNUMBER(G45),D45*G45,G45),"")</f>
        <v/>
      </c>
      <c r="F45" s="236"/>
      <c r="G45" s="236" t="str">
        <f aca="false">IF(LOWER('Seznam účastníků'!G52)="d",MIN('Soupis výdajů'!$D$47,MAX('Soupis výdajů'!$D$47-30,40)),IF(LOWER('Seznam účastníků'!G52)="i",MIN('Soupis výdajů'!$D$47,MAX('Soupis výdajů'!$D$47-40,30)),IF(LOWER('Seznam účastníků'!G52)="v",MIN('Soupis výdajů'!$D$47,MAX('Soupis výdajů'!$D$47-50,20)),IF(LOWER('Seznam účastníků'!G52)="h",0,IF(LOWER('Seznam účastníků'!G52)="n",'Soupis výdajů'!$D$47,IF(ISBLANK('Seznam účastníků'!G52),"","? dítě, instruktor, vedoucí, hlavní, nečlen ?"))))))</f>
        <v/>
      </c>
    </row>
    <row r="46" customFormat="false" ht="12.75" hidden="false" customHeight="false" outlineLevel="0" collapsed="false">
      <c r="B46" s="235" t="str">
        <f aca="false">IF(NOT(ISBLANK('Seznam účastníků'!A53)),'Seznam účastníků'!A53,"")</f>
        <v/>
      </c>
      <c r="C46" s="235" t="str">
        <f aca="false">IF(NOT(ISBLANK('Seznam účastníků'!B53)),'Seznam účastníků'!B53,"")</f>
        <v/>
      </c>
      <c r="D46" s="230" t="str">
        <f aca="false">IF(NOT(ISBLANK('Seznam účastníků'!B53)),$B$6-$B$5+1,"")</f>
        <v/>
      </c>
      <c r="E46" s="236" t="str">
        <f aca="false">IF(NOT(ISBLANK('Seznam účastníků'!B53)),IF(ISNUMBER(G46),D46*G46,G46),"")</f>
        <v/>
      </c>
      <c r="F46" s="236"/>
      <c r="G46" s="236" t="str">
        <f aca="false">IF(LOWER('Seznam účastníků'!G53)="d",MIN('Soupis výdajů'!$D$47,MAX('Soupis výdajů'!$D$47-30,40)),IF(LOWER('Seznam účastníků'!G53)="i",MIN('Soupis výdajů'!$D$47,MAX('Soupis výdajů'!$D$47-40,30)),IF(LOWER('Seznam účastníků'!G53)="v",MIN('Soupis výdajů'!$D$47,MAX('Soupis výdajů'!$D$47-50,20)),IF(LOWER('Seznam účastníků'!G53)="h",0,IF(LOWER('Seznam účastníků'!G53)="n",'Soupis výdajů'!$D$47,IF(ISBLANK('Seznam účastníků'!G53),"","? dítě, instruktor, vedoucí, hlavní, nečlen ?"))))))</f>
        <v/>
      </c>
    </row>
    <row r="47" customFormat="false" ht="12.75" hidden="false" customHeight="false" outlineLevel="0" collapsed="false">
      <c r="B47" s="235" t="str">
        <f aca="false">IF(NOT(ISBLANK('Seznam účastníků'!A54)),'Seznam účastníků'!A54,"")</f>
        <v/>
      </c>
      <c r="C47" s="235" t="str">
        <f aca="false">IF(NOT(ISBLANK('Seznam účastníků'!B54)),'Seznam účastníků'!B54,"")</f>
        <v/>
      </c>
      <c r="D47" s="230" t="str">
        <f aca="false">IF(NOT(ISBLANK('Seznam účastníků'!B54)),$B$6-$B$5+1,"")</f>
        <v/>
      </c>
      <c r="E47" s="236" t="str">
        <f aca="false">IF(NOT(ISBLANK('Seznam účastníků'!B54)),IF(ISNUMBER(G47),D47*G47,G47),"")</f>
        <v/>
      </c>
      <c r="F47" s="236"/>
      <c r="G47" s="236" t="str">
        <f aca="false">IF(LOWER('Seznam účastníků'!G54)="d",MIN('Soupis výdajů'!$D$47,MAX('Soupis výdajů'!$D$47-30,40)),IF(LOWER('Seznam účastníků'!G54)="i",MIN('Soupis výdajů'!$D$47,MAX('Soupis výdajů'!$D$47-40,30)),IF(LOWER('Seznam účastníků'!G54)="v",MIN('Soupis výdajů'!$D$47,MAX('Soupis výdajů'!$D$47-50,20)),IF(LOWER('Seznam účastníků'!G54)="h",0,IF(LOWER('Seznam účastníků'!G54)="n",'Soupis výdajů'!$D$47,IF(ISBLANK('Seznam účastníků'!G54),"","? dítě, instruktor, vedoucí, hlavní, nečlen ?"))))))</f>
        <v/>
      </c>
    </row>
    <row r="48" customFormat="false" ht="12.75" hidden="false" customHeight="false" outlineLevel="0" collapsed="false">
      <c r="B48" s="237"/>
      <c r="C48" s="237"/>
      <c r="D48" s="238"/>
      <c r="E48" s="239"/>
    </row>
    <row r="49" customFormat="false" ht="12.75" hidden="false" customHeight="false" outlineLevel="0" collapsed="false">
      <c r="B49" s="212" t="s">
        <v>53</v>
      </c>
      <c r="D49" s="240" t="n">
        <f aca="false">SUM(D12:D47)</f>
        <v>0</v>
      </c>
      <c r="E49" s="236" t="n">
        <f aca="false">SUM(E12:E47)</f>
        <v>0</v>
      </c>
    </row>
  </sheetData>
  <sheetProtection sheet="true"/>
  <mergeCells count="4">
    <mergeCell ref="B4:C4"/>
    <mergeCell ref="B5:C5"/>
    <mergeCell ref="B6:C6"/>
    <mergeCell ref="B7:C7"/>
  </mergeCells>
  <printOptions headings="false" gridLines="false" gridLinesSet="true" horizontalCentered="false" verticalCentered="false"/>
  <pageMargins left="0.7" right="0.7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I12" activeCellId="0" sqref="I12"/>
    </sheetView>
  </sheetViews>
  <sheetFormatPr defaultColWidth="9.00390625" defaultRowHeight="12.75" zeroHeight="false" outlineLevelRow="0" outlineLevelCol="0"/>
  <cols>
    <col collapsed="false" customWidth="false" hidden="false" outlineLevel="0" max="1" min="1" style="198" width="9"/>
    <col collapsed="false" customWidth="true" hidden="false" outlineLevel="0" max="2" min="2" style="198" width="6.14"/>
    <col collapsed="false" customWidth="true" hidden="false" outlineLevel="0" max="3" min="3" style="198" width="34.85"/>
    <col collapsed="false" customWidth="true" hidden="false" outlineLevel="0" max="4" min="4" style="198" width="13.71"/>
    <col collapsed="false" customWidth="true" hidden="false" outlineLevel="0" max="5" min="5" style="241" width="12.79"/>
    <col collapsed="false" customWidth="true" hidden="false" outlineLevel="0" max="6" min="6" style="198" width="8.42"/>
    <col collapsed="false" customWidth="true" hidden="false" outlineLevel="0" max="7" min="7" style="198" width="10.14"/>
    <col collapsed="false" customWidth="true" hidden="false" outlineLevel="0" max="8" min="8" style="198" width="15.99"/>
    <col collapsed="false" customWidth="true" hidden="false" outlineLevel="0" max="9" min="9" style="198" width="12"/>
    <col collapsed="false" customWidth="false" hidden="false" outlineLevel="0" max="16384" min="10" style="198" width="9"/>
  </cols>
  <sheetData>
    <row r="1" customFormat="false" ht="16.15" hidden="false" customHeight="false" outlineLevel="0" collapsed="false">
      <c r="A1" s="242" t="str">
        <f aca="false">'Seznam účastníků'!A1</f>
        <v>Kondor - Skupina ŠÁN - Podolské nábřeží 5, Praha 4 - Podolí, 147 00</v>
      </c>
    </row>
    <row r="2" customFormat="false" ht="17.35" hidden="false" customHeight="false" outlineLevel="0" collapsed="false">
      <c r="A2" s="231" t="str">
        <f aca="false">'Seznam účastníků'!A2</f>
        <v>Neočekávaný dýchánek</v>
      </c>
    </row>
    <row r="4" customFormat="false" ht="12.75" hidden="false" customHeight="false" outlineLevel="0" collapsed="false">
      <c r="A4" s="198" t="s">
        <v>193</v>
      </c>
      <c r="B4" s="232" t="n">
        <f aca="false">'Seznam účastníků'!B4</f>
        <v>0</v>
      </c>
      <c r="C4" s="232"/>
    </row>
    <row r="5" customFormat="false" ht="12.75" hidden="false" customHeight="false" outlineLevel="0" collapsed="false">
      <c r="A5" s="198" t="s">
        <v>194</v>
      </c>
      <c r="B5" s="233" t="n">
        <f aca="false">'Seznam účastníků'!B5</f>
        <v>0</v>
      </c>
      <c r="C5" s="233"/>
    </row>
    <row r="6" customFormat="false" ht="12.75" hidden="false" customHeight="false" outlineLevel="0" collapsed="false">
      <c r="A6" s="198" t="s">
        <v>195</v>
      </c>
      <c r="B6" s="233" t="n">
        <f aca="false">'Seznam účastníků'!B6</f>
        <v>0</v>
      </c>
      <c r="C6" s="233"/>
    </row>
    <row r="7" customFormat="false" ht="12.75" hidden="false" customHeight="false" outlineLevel="0" collapsed="false">
      <c r="A7" s="198" t="s">
        <v>196</v>
      </c>
      <c r="B7" s="232" t="n">
        <f aca="false">'Seznam účastníků'!B7</f>
        <v>0</v>
      </c>
      <c r="C7" s="232"/>
    </row>
    <row r="8" customFormat="false" ht="12.75" hidden="false" customHeight="false" outlineLevel="0" collapsed="false">
      <c r="A8" s="212"/>
    </row>
    <row r="9" customFormat="false" ht="12.75" hidden="false" customHeight="false" outlineLevel="0" collapsed="false">
      <c r="A9" s="243" t="s">
        <v>211</v>
      </c>
      <c r="B9" s="243"/>
    </row>
    <row r="11" s="200" customFormat="true" ht="12.75" hidden="false" customHeight="false" outlineLevel="0" collapsed="false">
      <c r="A11" s="244" t="s">
        <v>212</v>
      </c>
      <c r="C11" s="223"/>
      <c r="D11" s="245"/>
      <c r="E11" s="246"/>
      <c r="F11" s="223"/>
      <c r="G11" s="223"/>
      <c r="H11" s="247" t="s">
        <v>213</v>
      </c>
      <c r="I11" s="223"/>
      <c r="J11" s="223"/>
      <c r="K11" s="223"/>
      <c r="L11" s="223"/>
      <c r="M11" s="223"/>
    </row>
    <row r="12" s="200" customFormat="true" ht="12.75" hidden="false" customHeight="false" outlineLevel="0" collapsed="false">
      <c r="A12" s="244"/>
      <c r="C12" s="223"/>
      <c r="D12" s="245"/>
      <c r="E12" s="246"/>
      <c r="F12" s="223" t="s">
        <v>214</v>
      </c>
      <c r="G12" s="223"/>
      <c r="H12" s="223" t="s">
        <v>215</v>
      </c>
      <c r="I12" s="223"/>
      <c r="J12" s="223"/>
      <c r="K12" s="223"/>
      <c r="L12" s="223"/>
      <c r="M12" s="223"/>
      <c r="N12" s="223"/>
    </row>
    <row r="13" s="200" customFormat="true" ht="12.75" hidden="false" customHeight="false" outlineLevel="0" collapsed="false">
      <c r="A13" s="244"/>
      <c r="C13" s="223"/>
      <c r="D13" s="245"/>
      <c r="E13" s="248"/>
      <c r="F13" s="223"/>
      <c r="G13" s="223"/>
      <c r="H13" s="223" t="s">
        <v>141</v>
      </c>
      <c r="I13" s="223"/>
      <c r="J13" s="223"/>
      <c r="K13" s="223"/>
      <c r="L13" s="223"/>
      <c r="M13" s="223"/>
      <c r="N13" s="223"/>
    </row>
    <row r="14" s="200" customFormat="true" ht="12.75" hidden="false" customHeight="false" outlineLevel="0" collapsed="false">
      <c r="A14" s="244"/>
      <c r="C14" s="223"/>
      <c r="D14" s="245"/>
      <c r="E14" s="248"/>
      <c r="F14" s="223"/>
      <c r="G14" s="223"/>
      <c r="H14" s="223" t="s">
        <v>143</v>
      </c>
      <c r="I14" s="223"/>
      <c r="J14" s="223"/>
      <c r="K14" s="223"/>
      <c r="L14" s="223"/>
      <c r="M14" s="223"/>
      <c r="N14" s="223"/>
    </row>
    <row r="15" s="200" customFormat="true" ht="12.75" hidden="false" customHeight="false" outlineLevel="0" collapsed="false">
      <c r="A15" s="244" t="s">
        <v>214</v>
      </c>
      <c r="C15" s="223"/>
      <c r="D15" s="245"/>
      <c r="E15" s="248"/>
      <c r="F15" s="223"/>
      <c r="G15" s="223"/>
      <c r="H15" s="223" t="s">
        <v>216</v>
      </c>
      <c r="I15" s="223"/>
      <c r="J15" s="223"/>
      <c r="K15" s="223"/>
      <c r="L15" s="223"/>
      <c r="M15" s="223"/>
      <c r="N15" s="223"/>
    </row>
    <row r="16" s="200" customFormat="true" ht="12.75" hidden="false" customHeight="false" outlineLevel="0" collapsed="false">
      <c r="A16" s="244"/>
      <c r="C16" s="223"/>
      <c r="D16" s="245"/>
      <c r="E16" s="248"/>
      <c r="F16" s="223"/>
      <c r="G16" s="223"/>
      <c r="H16" s="223" t="s">
        <v>217</v>
      </c>
      <c r="I16" s="223"/>
      <c r="J16" s="223"/>
      <c r="K16" s="223"/>
      <c r="L16" s="223"/>
      <c r="M16" s="223"/>
      <c r="N16" s="223"/>
    </row>
    <row r="17" s="200" customFormat="true" ht="12.75" hidden="false" customHeight="false" outlineLevel="0" collapsed="false">
      <c r="A17" s="244"/>
      <c r="C17" s="223"/>
      <c r="D17" s="245"/>
      <c r="E17" s="248"/>
      <c r="F17" s="223"/>
      <c r="G17" s="223"/>
      <c r="H17" s="223" t="s">
        <v>218</v>
      </c>
      <c r="I17" s="223"/>
      <c r="J17" s="223"/>
      <c r="K17" s="223"/>
      <c r="L17" s="223"/>
      <c r="M17" s="223"/>
      <c r="N17" s="223"/>
    </row>
    <row r="18" s="200" customFormat="true" ht="12.75" hidden="false" customHeight="false" outlineLevel="0" collapsed="false">
      <c r="A18" s="244"/>
      <c r="C18" s="223"/>
      <c r="D18" s="245"/>
      <c r="E18" s="248"/>
      <c r="F18" s="223"/>
      <c r="G18" s="223"/>
      <c r="H18" s="223" t="s">
        <v>142</v>
      </c>
      <c r="I18" s="223"/>
      <c r="J18" s="223"/>
      <c r="K18" s="223"/>
      <c r="L18" s="223"/>
      <c r="M18" s="223"/>
      <c r="N18" s="223"/>
    </row>
    <row r="19" s="200" customFormat="true" ht="12.75" hidden="false" customHeight="false" outlineLevel="0" collapsed="false">
      <c r="A19" s="244"/>
      <c r="C19" s="223"/>
      <c r="D19" s="245"/>
      <c r="E19" s="248"/>
      <c r="F19" s="223"/>
      <c r="G19" s="223"/>
      <c r="H19" s="223" t="s">
        <v>219</v>
      </c>
      <c r="I19" s="223"/>
      <c r="J19" s="223"/>
      <c r="K19" s="223"/>
      <c r="L19" s="223"/>
      <c r="M19" s="223"/>
      <c r="N19" s="223"/>
    </row>
    <row r="20" s="200" customFormat="true" ht="12.75" hidden="false" customHeight="false" outlineLevel="0" collapsed="false">
      <c r="A20" s="244"/>
      <c r="C20" s="223"/>
      <c r="D20" s="245"/>
      <c r="E20" s="248"/>
      <c r="F20" s="223"/>
      <c r="G20" s="223"/>
      <c r="H20" s="223" t="s">
        <v>220</v>
      </c>
      <c r="I20" s="223"/>
      <c r="J20" s="223"/>
      <c r="K20" s="223"/>
      <c r="L20" s="223"/>
      <c r="M20" s="223"/>
      <c r="N20" s="223"/>
    </row>
    <row r="21" s="200" customFormat="true" ht="12.75" hidden="false" customHeight="false" outlineLevel="0" collapsed="false">
      <c r="A21" s="244"/>
      <c r="C21" s="223"/>
      <c r="D21" s="245"/>
      <c r="E21" s="248"/>
      <c r="F21" s="223"/>
      <c r="G21" s="223"/>
      <c r="H21" s="223"/>
      <c r="I21" s="223"/>
      <c r="J21" s="223"/>
      <c r="K21" s="223"/>
      <c r="L21" s="223"/>
      <c r="M21" s="223"/>
      <c r="N21" s="223"/>
    </row>
    <row r="22" s="200" customFormat="true" ht="12.75" hidden="false" customHeight="false" outlineLevel="0" collapsed="false">
      <c r="A22" s="244"/>
      <c r="C22" s="223"/>
      <c r="D22" s="245"/>
      <c r="E22" s="248"/>
      <c r="F22" s="223"/>
      <c r="G22" s="223"/>
      <c r="H22" s="223"/>
      <c r="I22" s="223"/>
      <c r="J22" s="223"/>
      <c r="K22" s="223"/>
      <c r="L22" s="223"/>
      <c r="M22" s="223"/>
      <c r="N22" s="223"/>
    </row>
    <row r="23" s="200" customFormat="true" ht="12.75" hidden="false" customHeight="false" outlineLevel="0" collapsed="false">
      <c r="A23" s="244"/>
      <c r="C23" s="223"/>
      <c r="D23" s="245"/>
      <c r="E23" s="248"/>
      <c r="F23" s="223"/>
      <c r="G23" s="223"/>
      <c r="H23" s="223"/>
      <c r="I23" s="223"/>
      <c r="J23" s="223"/>
      <c r="K23" s="223"/>
      <c r="L23" s="223"/>
      <c r="M23" s="223"/>
      <c r="N23" s="223"/>
    </row>
    <row r="24" s="200" customFormat="true" ht="12.75" hidden="false" customHeight="false" outlineLevel="0" collapsed="false">
      <c r="A24" s="244"/>
      <c r="C24" s="223"/>
      <c r="D24" s="245"/>
      <c r="E24" s="248"/>
      <c r="F24" s="223"/>
      <c r="G24" s="223"/>
      <c r="H24" s="223"/>
      <c r="I24" s="223"/>
      <c r="J24" s="223"/>
      <c r="K24" s="223"/>
      <c r="L24" s="223"/>
      <c r="M24" s="223"/>
      <c r="N24" s="223"/>
    </row>
    <row r="25" s="200" customFormat="true" ht="12.75" hidden="false" customHeight="false" outlineLevel="0" collapsed="false">
      <c r="A25" s="244"/>
      <c r="C25" s="223"/>
      <c r="D25" s="245"/>
      <c r="E25" s="248"/>
      <c r="F25" s="223"/>
      <c r="G25" s="223"/>
      <c r="H25" s="223"/>
      <c r="I25" s="223"/>
      <c r="J25" s="223"/>
      <c r="K25" s="223"/>
      <c r="L25" s="223"/>
      <c r="M25" s="223"/>
      <c r="N25" s="223"/>
    </row>
    <row r="26" s="200" customFormat="true" ht="12.75" hidden="false" customHeight="false" outlineLevel="0" collapsed="false">
      <c r="A26" s="244"/>
      <c r="C26" s="223"/>
      <c r="D26" s="245"/>
      <c r="E26" s="248"/>
      <c r="F26" s="223"/>
      <c r="G26" s="223"/>
      <c r="H26" s="223"/>
      <c r="I26" s="223"/>
      <c r="J26" s="223"/>
      <c r="K26" s="223"/>
      <c r="L26" s="223"/>
      <c r="M26" s="223"/>
      <c r="N26" s="223"/>
    </row>
    <row r="27" s="200" customFormat="true" ht="12.75" hidden="false" customHeight="false" outlineLevel="0" collapsed="false">
      <c r="A27" s="244"/>
      <c r="C27" s="223"/>
      <c r="D27" s="245"/>
      <c r="E27" s="248"/>
      <c r="F27" s="223"/>
      <c r="G27" s="223"/>
      <c r="H27" s="223"/>
      <c r="I27" s="223"/>
      <c r="J27" s="223"/>
      <c r="K27" s="223"/>
      <c r="L27" s="223"/>
      <c r="M27" s="223"/>
      <c r="N27" s="223"/>
    </row>
    <row r="28" s="200" customFormat="true" ht="12.75" hidden="false" customHeight="false" outlineLevel="0" collapsed="false">
      <c r="A28" s="244"/>
      <c r="C28" s="223"/>
      <c r="D28" s="245"/>
      <c r="E28" s="248"/>
      <c r="F28" s="223"/>
      <c r="G28" s="223"/>
      <c r="H28" s="223"/>
      <c r="I28" s="223"/>
      <c r="J28" s="223"/>
      <c r="K28" s="223"/>
      <c r="L28" s="223"/>
      <c r="M28" s="223"/>
      <c r="N28" s="223"/>
    </row>
    <row r="29" s="200" customFormat="true" ht="12.75" hidden="false" customHeight="false" outlineLevel="0" collapsed="false">
      <c r="A29" s="244"/>
      <c r="C29" s="223"/>
      <c r="D29" s="245"/>
      <c r="E29" s="248"/>
      <c r="F29" s="223"/>
      <c r="G29" s="223"/>
      <c r="H29" s="223"/>
      <c r="I29" s="223"/>
      <c r="J29" s="223"/>
      <c r="K29" s="223"/>
      <c r="L29" s="223"/>
      <c r="M29" s="223"/>
      <c r="N29" s="223"/>
    </row>
    <row r="30" s="200" customFormat="true" ht="12.75" hidden="false" customHeight="false" outlineLevel="0" collapsed="false">
      <c r="A30" s="244"/>
      <c r="C30" s="223"/>
      <c r="D30" s="245"/>
      <c r="E30" s="248"/>
      <c r="F30" s="223"/>
      <c r="G30" s="223"/>
      <c r="H30" s="223"/>
      <c r="I30" s="223"/>
      <c r="J30" s="223"/>
      <c r="K30" s="223"/>
      <c r="L30" s="223"/>
      <c r="M30" s="223"/>
      <c r="N30" s="223"/>
    </row>
    <row r="31" s="200" customFormat="true" ht="12.75" hidden="false" customHeight="false" outlineLevel="0" collapsed="false">
      <c r="A31" s="244"/>
      <c r="C31" s="223"/>
      <c r="D31" s="245"/>
      <c r="E31" s="248"/>
      <c r="F31" s="223"/>
      <c r="G31" s="223"/>
      <c r="H31" s="223"/>
      <c r="I31" s="223"/>
      <c r="J31" s="223"/>
      <c r="K31" s="223"/>
      <c r="L31" s="223"/>
      <c r="M31" s="223"/>
      <c r="N31" s="223"/>
    </row>
    <row r="32" s="200" customFormat="true" ht="12.75" hidden="false" customHeight="false" outlineLevel="0" collapsed="false">
      <c r="A32" s="244"/>
      <c r="C32" s="223"/>
      <c r="D32" s="245"/>
      <c r="E32" s="248"/>
      <c r="F32" s="223"/>
      <c r="G32" s="223"/>
      <c r="H32" s="223"/>
      <c r="I32" s="223"/>
      <c r="J32" s="223"/>
      <c r="K32" s="223"/>
      <c r="L32" s="223"/>
      <c r="M32" s="223"/>
      <c r="N32" s="223"/>
    </row>
    <row r="33" s="200" customFormat="true" ht="12.75" hidden="false" customHeight="false" outlineLevel="0" collapsed="false">
      <c r="A33" s="244"/>
      <c r="C33" s="223"/>
      <c r="D33" s="245"/>
      <c r="E33" s="248"/>
      <c r="F33" s="223"/>
      <c r="G33" s="223"/>
      <c r="H33" s="223"/>
      <c r="I33" s="223"/>
      <c r="J33" s="223"/>
      <c r="K33" s="223"/>
      <c r="L33" s="223"/>
      <c r="M33" s="223"/>
      <c r="N33" s="223"/>
    </row>
    <row r="34" s="200" customFormat="true" ht="12.75" hidden="false" customHeight="false" outlineLevel="0" collapsed="false">
      <c r="A34" s="244"/>
      <c r="C34" s="223"/>
      <c r="D34" s="245"/>
      <c r="E34" s="248"/>
      <c r="F34" s="223"/>
      <c r="G34" s="223"/>
      <c r="H34" s="223"/>
      <c r="I34" s="223"/>
      <c r="J34" s="223"/>
      <c r="K34" s="223"/>
      <c r="L34" s="223"/>
      <c r="M34" s="223"/>
      <c r="N34" s="223"/>
    </row>
    <row r="35" s="200" customFormat="true" ht="12.75" hidden="false" customHeight="false" outlineLevel="0" collapsed="false">
      <c r="A35" s="244"/>
      <c r="C35" s="223"/>
      <c r="D35" s="245"/>
      <c r="E35" s="248"/>
      <c r="F35" s="223"/>
      <c r="G35" s="223"/>
      <c r="H35" s="223"/>
      <c r="I35" s="223"/>
      <c r="J35" s="223"/>
      <c r="K35" s="223"/>
      <c r="L35" s="223"/>
      <c r="M35" s="223"/>
      <c r="N35" s="223"/>
    </row>
    <row r="36" s="200" customFormat="true" ht="12.75" hidden="false" customHeight="false" outlineLevel="0" collapsed="false">
      <c r="A36" s="244"/>
      <c r="C36" s="223"/>
      <c r="D36" s="245"/>
      <c r="E36" s="248"/>
      <c r="F36" s="223"/>
      <c r="G36" s="223"/>
      <c r="H36" s="223"/>
      <c r="I36" s="223"/>
      <c r="J36" s="223"/>
      <c r="K36" s="223"/>
      <c r="L36" s="223"/>
      <c r="M36" s="223"/>
      <c r="N36" s="223"/>
    </row>
    <row r="37" s="200" customFormat="true" ht="12.75" hidden="false" customHeight="false" outlineLevel="0" collapsed="false">
      <c r="A37" s="244"/>
      <c r="C37" s="223"/>
      <c r="D37" s="245"/>
      <c r="E37" s="248"/>
      <c r="F37" s="223"/>
      <c r="G37" s="223"/>
      <c r="H37" s="223"/>
      <c r="I37" s="223"/>
      <c r="J37" s="223"/>
      <c r="K37" s="223"/>
      <c r="L37" s="223"/>
      <c r="M37" s="223"/>
      <c r="N37" s="223"/>
    </row>
    <row r="38" s="200" customFormat="true" ht="12.75" hidden="false" customHeight="false" outlineLevel="0" collapsed="false">
      <c r="A38" s="244"/>
      <c r="C38" s="223"/>
      <c r="D38" s="245"/>
      <c r="E38" s="248"/>
      <c r="F38" s="223"/>
      <c r="G38" s="223"/>
      <c r="H38" s="223"/>
      <c r="I38" s="223"/>
      <c r="J38" s="223"/>
      <c r="K38" s="223"/>
      <c r="L38" s="223"/>
      <c r="M38" s="223"/>
      <c r="N38" s="223"/>
    </row>
    <row r="39" s="200" customFormat="true" ht="12.75" hidden="false" customHeight="false" outlineLevel="0" collapsed="false">
      <c r="A39" s="244"/>
      <c r="C39" s="223"/>
      <c r="D39" s="245"/>
      <c r="E39" s="248"/>
      <c r="F39" s="223"/>
      <c r="G39" s="223"/>
      <c r="H39" s="223"/>
      <c r="I39" s="223"/>
      <c r="J39" s="223"/>
      <c r="K39" s="223"/>
      <c r="L39" s="223"/>
      <c r="M39" s="223"/>
      <c r="N39" s="223"/>
    </row>
    <row r="40" s="200" customFormat="true" ht="12.75" hidden="false" customHeight="false" outlineLevel="0" collapsed="false">
      <c r="A40" s="244"/>
      <c r="C40" s="223"/>
      <c r="D40" s="245"/>
      <c r="E40" s="248"/>
      <c r="F40" s="223"/>
      <c r="G40" s="223"/>
      <c r="H40" s="223"/>
      <c r="I40" s="223"/>
      <c r="J40" s="223"/>
      <c r="K40" s="223"/>
      <c r="L40" s="223"/>
      <c r="M40" s="223"/>
      <c r="N40" s="223"/>
    </row>
    <row r="41" s="200" customFormat="true" ht="12.75" hidden="false" customHeight="false" outlineLevel="0" collapsed="false">
      <c r="A41" s="244"/>
      <c r="C41" s="223"/>
      <c r="D41" s="245"/>
      <c r="E41" s="248"/>
      <c r="F41" s="223"/>
      <c r="G41" s="223"/>
      <c r="H41" s="223"/>
      <c r="I41" s="223"/>
      <c r="J41" s="223"/>
      <c r="K41" s="223"/>
      <c r="L41" s="223"/>
      <c r="M41" s="223"/>
      <c r="N41" s="223"/>
    </row>
    <row r="42" s="200" customFormat="true" ht="12.75" hidden="false" customHeight="false" outlineLevel="0" collapsed="false">
      <c r="A42" s="244"/>
      <c r="E42" s="248"/>
      <c r="F42" s="223"/>
      <c r="G42" s="223"/>
      <c r="H42" s="223"/>
      <c r="I42" s="223"/>
      <c r="J42" s="223"/>
      <c r="K42" s="223"/>
      <c r="L42" s="223"/>
      <c r="M42" s="223"/>
      <c r="N42" s="223"/>
    </row>
    <row r="43" customFormat="false" ht="12.75" hidden="false" customHeight="false" outlineLevel="0" collapsed="false">
      <c r="B43" s="237"/>
      <c r="C43" s="237"/>
      <c r="D43" s="237"/>
      <c r="E43" s="249"/>
      <c r="F43" s="41"/>
      <c r="G43" s="41"/>
      <c r="H43" s="41"/>
      <c r="I43" s="41"/>
      <c r="J43" s="41"/>
      <c r="K43" s="41"/>
      <c r="L43" s="41"/>
      <c r="M43" s="41"/>
      <c r="N43" s="41"/>
    </row>
    <row r="44" customFormat="false" ht="12.75" hidden="false" customHeight="false" outlineLevel="0" collapsed="false">
      <c r="B44" s="210"/>
      <c r="D44" s="236" t="n">
        <f aca="false">SUM(D11:D42)</f>
        <v>0</v>
      </c>
      <c r="F44" s="41"/>
      <c r="G44" s="41"/>
      <c r="H44" s="41"/>
      <c r="I44" s="41"/>
      <c r="J44" s="41"/>
      <c r="K44" s="41"/>
      <c r="L44" s="41"/>
      <c r="M44" s="41"/>
    </row>
    <row r="45" customFormat="false" ht="12.75" hidden="false" customHeight="false" outlineLevel="0" collapsed="false">
      <c r="D45" s="236"/>
      <c r="H45" s="41"/>
      <c r="I45" s="41"/>
      <c r="J45" s="41"/>
      <c r="K45" s="41"/>
      <c r="L45" s="41"/>
    </row>
    <row r="46" customFormat="false" ht="12.75" hidden="false" customHeight="false" outlineLevel="0" collapsed="false">
      <c r="B46" s="243" t="s">
        <v>221</v>
      </c>
      <c r="C46" s="243"/>
      <c r="D46" s="236" t="e">
        <f aca="false">'Soupis výdajů'!D44/'Přehled o vybraných poplatcích'!D49</f>
        <v>#DIV/0!</v>
      </c>
    </row>
    <row r="47" customFormat="false" ht="12.75" hidden="false" customHeight="false" outlineLevel="0" collapsed="false">
      <c r="B47" s="243" t="s">
        <v>222</v>
      </c>
      <c r="C47" s="243"/>
      <c r="D47" s="236" t="e">
        <f aca="false">ROUND(D46/5,0)*5</f>
        <v>#DIV/0!</v>
      </c>
      <c r="G47" s="250"/>
    </row>
    <row r="48" customFormat="false" ht="12.75" hidden="false" customHeight="false" outlineLevel="0" collapsed="false">
      <c r="D48" s="236"/>
      <c r="G48" s="250"/>
    </row>
    <row r="49" customFormat="false" ht="12.75" hidden="false" customHeight="false" outlineLevel="0" collapsed="false">
      <c r="D49" s="236"/>
      <c r="G49" s="250"/>
    </row>
    <row r="50" customFormat="false" ht="12.75" hidden="false" customHeight="false" outlineLevel="0" collapsed="false">
      <c r="C50" s="198" t="s">
        <v>223</v>
      </c>
      <c r="D50" s="236" t="n">
        <f aca="false">'Přehled o vybraných poplatcích'!E49</f>
        <v>0</v>
      </c>
      <c r="G50" s="250"/>
    </row>
    <row r="51" customFormat="false" ht="12.75" hidden="false" customHeight="false" outlineLevel="0" collapsed="false">
      <c r="C51" s="198" t="s">
        <v>224</v>
      </c>
      <c r="D51" s="236" t="n">
        <f aca="false">D44-D50</f>
        <v>0</v>
      </c>
      <c r="G51" s="250"/>
    </row>
    <row r="52" customFormat="false" ht="12.75" hidden="false" customHeight="false" outlineLevel="0" collapsed="false">
      <c r="C52" s="237"/>
      <c r="D52" s="251"/>
      <c r="G52" s="250"/>
    </row>
    <row r="53" customFormat="false" ht="12.75" hidden="false" customHeight="false" outlineLevel="0" collapsed="false">
      <c r="C53" s="212" t="s">
        <v>225</v>
      </c>
      <c r="D53" s="252" t="n">
        <f aca="false">SUM(D50:D51)</f>
        <v>0</v>
      </c>
      <c r="E53" s="241" t="s">
        <v>214</v>
      </c>
      <c r="G53" s="250"/>
    </row>
    <row r="54" customFormat="false" ht="12.75" hidden="false" customHeight="false" outlineLevel="0" collapsed="false">
      <c r="C54" s="212" t="s">
        <v>226</v>
      </c>
      <c r="D54" s="252" t="n">
        <f aca="false">D44</f>
        <v>0</v>
      </c>
      <c r="G54" s="250"/>
    </row>
    <row r="63" customFormat="false" ht="12.75" hidden="false" customHeight="false" outlineLevel="0" collapsed="false">
      <c r="B63" s="253"/>
    </row>
  </sheetData>
  <mergeCells count="7">
    <mergeCell ref="B4:C4"/>
    <mergeCell ref="B5:C5"/>
    <mergeCell ref="B6:C6"/>
    <mergeCell ref="B7:C7"/>
    <mergeCell ref="A9:B9"/>
    <mergeCell ref="B46:C46"/>
    <mergeCell ref="B47:C47"/>
  </mergeCells>
  <printOptions headings="false" gridLines="false" gridLinesSet="true" horizontalCentered="false" verticalCentered="false"/>
  <pageMargins left="0.7" right="0.7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703125" defaultRowHeight="12.75" zeroHeight="false" outlineLevelRow="0" outlineLevelCol="0"/>
  <cols>
    <col collapsed="false" customWidth="true" hidden="false" outlineLevel="0" max="1" min="1" style="41" width="9"/>
  </cols>
  <sheetData>
    <row r="1" customFormat="false" ht="16.15" hidden="false" customHeight="false" outlineLevel="0" collapsed="false">
      <c r="A1" s="254" t="str">
        <f aca="false">'Seznam účastníků'!A1</f>
        <v>Kondor - Skupina ŠÁN - Podolské nábřeží 5, Praha 4 - Podolí, 147 00</v>
      </c>
    </row>
    <row r="2" customFormat="false" ht="17.35" hidden="false" customHeight="false" outlineLevel="0" collapsed="false">
      <c r="A2" s="255" t="str">
        <f aca="false">'Seznam účastníků'!A2</f>
        <v>Neočekávaný dýchánek</v>
      </c>
    </row>
    <row r="4" customFormat="false" ht="12.75" hidden="false" customHeight="false" outlineLevel="0" collapsed="false">
      <c r="A4" s="198" t="s">
        <v>193</v>
      </c>
      <c r="B4" s="232" t="n">
        <f aca="false">'Seznam účastníků'!B4</f>
        <v>0</v>
      </c>
      <c r="C4" s="232"/>
    </row>
    <row r="5" customFormat="false" ht="12.75" hidden="false" customHeight="false" outlineLevel="0" collapsed="false">
      <c r="A5" s="198" t="s">
        <v>194</v>
      </c>
      <c r="B5" s="233" t="n">
        <f aca="false">'Seznam účastníků'!B5</f>
        <v>0</v>
      </c>
      <c r="C5" s="233"/>
    </row>
    <row r="6" customFormat="false" ht="12.75" hidden="false" customHeight="false" outlineLevel="0" collapsed="false">
      <c r="A6" s="198" t="s">
        <v>195</v>
      </c>
      <c r="B6" s="233" t="n">
        <f aca="false">'Seznam účastníků'!B6</f>
        <v>0</v>
      </c>
      <c r="C6" s="233"/>
    </row>
    <row r="7" customFormat="false" ht="12.75" hidden="false" customHeight="false" outlineLevel="0" collapsed="false">
      <c r="A7" s="198" t="s">
        <v>196</v>
      </c>
      <c r="B7" s="232" t="n">
        <f aca="false">'Seznam účastníků'!B7</f>
        <v>0</v>
      </c>
      <c r="C7" s="232"/>
    </row>
    <row r="8" customFormat="false" ht="12.75" hidden="false" customHeight="false" outlineLevel="0" collapsed="false">
      <c r="A8" s="256"/>
    </row>
    <row r="9" customFormat="false" ht="12.75" hidden="false" customHeight="false" outlineLevel="0" collapsed="false">
      <c r="A9" s="257" t="s">
        <v>227</v>
      </c>
      <c r="B9" s="257"/>
    </row>
    <row r="10" customFormat="false" ht="12.75" hidden="false" customHeight="false" outlineLevel="0" collapsed="false">
      <c r="A10" s="258"/>
    </row>
    <row r="11" customFormat="false" ht="12.75" hidden="false" customHeight="false" outlineLevel="0" collapsed="false">
      <c r="A11" s="259"/>
    </row>
    <row r="19" customFormat="false" ht="12.75" hidden="false" customHeight="false" outlineLevel="0" collapsed="false">
      <c r="A19" s="257" t="s">
        <v>228</v>
      </c>
      <c r="B19" s="257"/>
      <c r="C19" s="257"/>
      <c r="D19" s="257"/>
    </row>
    <row r="20" customFormat="false" ht="12.75" hidden="false" customHeight="false" outlineLevel="0" collapsed="false">
      <c r="A20" s="258" t="s">
        <v>229</v>
      </c>
    </row>
    <row r="21" customFormat="false" ht="12.75" hidden="false" customHeight="false" outlineLevel="0" collapsed="false">
      <c r="A21" s="258"/>
    </row>
    <row r="22" customFormat="false" ht="12.75" hidden="false" customHeight="false" outlineLevel="0" collapsed="false">
      <c r="A22" s="257" t="s">
        <v>230</v>
      </c>
      <c r="B22" s="257"/>
      <c r="C22" s="257"/>
      <c r="D22" s="257"/>
      <c r="E22" s="257"/>
    </row>
    <row r="23" customFormat="false" ht="12.75" hidden="false" customHeight="false" outlineLevel="0" collapsed="false">
      <c r="A23" s="258" t="s">
        <v>229</v>
      </c>
    </row>
    <row r="24" customFormat="false" ht="12.75" hidden="false" customHeight="false" outlineLevel="0" collapsed="false">
      <c r="A24" s="258"/>
    </row>
    <row r="25" customFormat="false" ht="12.75" hidden="false" customHeight="false" outlineLevel="0" collapsed="false">
      <c r="A25" s="257" t="s">
        <v>231</v>
      </c>
      <c r="B25" s="257"/>
      <c r="C25" s="257"/>
      <c r="D25" s="257"/>
      <c r="E25" s="257"/>
    </row>
    <row r="26" customFormat="false" ht="12.75" hidden="false" customHeight="false" outlineLevel="0" collapsed="false">
      <c r="A26" s="258" t="s">
        <v>229</v>
      </c>
    </row>
    <row r="27" customFormat="false" ht="12.75" hidden="false" customHeight="false" outlineLevel="0" collapsed="false">
      <c r="A27" s="258"/>
    </row>
    <row r="28" customFormat="false" ht="12.75" hidden="false" customHeight="false" outlineLevel="0" collapsed="false">
      <c r="A28" s="257" t="s">
        <v>232</v>
      </c>
      <c r="B28" s="257"/>
      <c r="C28" s="257"/>
      <c r="D28" s="257"/>
      <c r="E28" s="257"/>
      <c r="F28" s="257"/>
    </row>
    <row r="29" customFormat="false" ht="12.75" hidden="false" customHeight="false" outlineLevel="0" collapsed="false">
      <c r="A29" s="41" t="s">
        <v>233</v>
      </c>
    </row>
  </sheetData>
  <mergeCells count="9">
    <mergeCell ref="B4:C4"/>
    <mergeCell ref="B5:C5"/>
    <mergeCell ref="B6:C6"/>
    <mergeCell ref="B7:C7"/>
    <mergeCell ref="A9:B9"/>
    <mergeCell ref="A19:D19"/>
    <mergeCell ref="A22:E22"/>
    <mergeCell ref="A25:E25"/>
    <mergeCell ref="A28:F28"/>
  </mergeCells>
  <printOptions headings="false" gridLines="false" gridLinesSet="true" horizontalCentered="false" verticalCentered="false"/>
  <pageMargins left="0.7875" right="0.7875" top="0.7875" bottom="0.78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9" activeCellId="0" sqref="E9"/>
    </sheetView>
  </sheetViews>
  <sheetFormatPr defaultColWidth="8.71484375" defaultRowHeight="12.75" zeroHeight="false" outlineLevelRow="0" outlineLevelCol="0"/>
  <cols>
    <col collapsed="false" customWidth="true" hidden="false" outlineLevel="0" max="1" min="1" style="1" width="3.15"/>
    <col collapsed="false" customWidth="true" hidden="false" outlineLevel="0" max="2" min="2" style="1" width="7"/>
    <col collapsed="false" customWidth="true" hidden="false" outlineLevel="0" max="3" min="3" style="1" width="8.29"/>
    <col collapsed="false" customWidth="true" hidden="false" outlineLevel="0" max="4" min="4" style="1" width="9.14"/>
    <col collapsed="false" customWidth="true" hidden="false" outlineLevel="0" max="5" min="5" style="1" width="24.57"/>
    <col collapsed="false" customWidth="true" hidden="false" outlineLevel="0" max="6" min="6" style="1" width="17.29"/>
    <col collapsed="false" customWidth="true" hidden="false" outlineLevel="0" max="7" min="7" style="1" width="16.57"/>
    <col collapsed="false" customWidth="false" hidden="false" outlineLevel="0" max="8" min="8" style="1" width="8.71"/>
    <col collapsed="false" customWidth="true" hidden="false" outlineLevel="0" max="9" min="9" style="1" width="10.57"/>
    <col collapsed="false" customWidth="false" hidden="false" outlineLevel="0" max="16384" min="10" style="1" width="8.71"/>
  </cols>
  <sheetData>
    <row r="1" s="3" customFormat="true" ht="17.35" hidden="false" customHeight="false" outlineLevel="0" collapsed="false">
      <c r="A1" s="2" t="s">
        <v>0</v>
      </c>
      <c r="B1" s="2"/>
      <c r="C1" s="2"/>
      <c r="D1" s="2"/>
      <c r="E1" s="2"/>
      <c r="F1" s="2"/>
      <c r="G1" s="2"/>
    </row>
    <row r="2" s="3" customFormat="true" ht="15.75" hidden="false" customHeight="true" outlineLevel="0" collapsed="false">
      <c r="A2" s="4" t="str">
        <f aca="false">'Formulář  AKCE'!B2</f>
        <v>smlouvy č. DAG/61/03/001435/2009 o poskytnutí finančních prostředků
Příloha k vyúčtování akcí a táborů</v>
      </c>
      <c r="B2" s="4"/>
      <c r="C2" s="4"/>
      <c r="D2" s="4"/>
      <c r="E2" s="4"/>
      <c r="F2" s="4"/>
      <c r="G2" s="4"/>
    </row>
    <row r="3" s="7" customFormat="true" ht="12.75" hidden="false" customHeight="false" outlineLevel="0" collapsed="false">
      <c r="A3" s="5"/>
      <c r="B3" s="5"/>
      <c r="C3" s="5"/>
      <c r="D3" s="5"/>
      <c r="E3" s="5"/>
      <c r="F3" s="5"/>
      <c r="G3" s="260" t="str">
        <f aca="false">IF(ISNUMBER('Formulář  AKCE'!G3),'Formulář  AKCE'!G3," ")</f>
        <v> </v>
      </c>
    </row>
    <row r="4" s="7" customFormat="true" ht="12.75" hidden="false" customHeight="false" outlineLevel="0" collapsed="false">
      <c r="A4" s="5"/>
      <c r="B4" s="5"/>
      <c r="C4" s="5"/>
      <c r="D4" s="5"/>
      <c r="E4" s="5"/>
      <c r="F4" s="5"/>
      <c r="G4" s="260"/>
    </row>
    <row r="5" s="7" customFormat="true" ht="12.75" hidden="false" customHeight="false" outlineLevel="0" collapsed="false">
      <c r="A5" s="5"/>
      <c r="B5" s="5"/>
      <c r="C5" s="5"/>
      <c r="D5" s="5"/>
      <c r="E5" s="5"/>
      <c r="F5" s="5"/>
      <c r="G5" s="260"/>
    </row>
    <row r="6" s="7" customFormat="true" ht="12.75" hidden="false" customHeight="false" outlineLevel="0" collapsed="false">
      <c r="A6" s="8"/>
      <c r="B6" s="8"/>
      <c r="C6" s="8"/>
      <c r="D6" s="8"/>
      <c r="E6" s="8"/>
      <c r="F6" s="8"/>
    </row>
    <row r="7" customFormat="false" ht="12.75" hidden="false" customHeight="false" outlineLevel="0" collapsed="false">
      <c r="A7" s="9"/>
      <c r="B7" s="9"/>
      <c r="C7" s="9"/>
      <c r="D7" s="9"/>
      <c r="E7" s="9"/>
      <c r="F7" s="9"/>
    </row>
    <row r="8" customFormat="false" ht="12.75" hidden="false" customHeight="false" outlineLevel="0" collapsed="false">
      <c r="A8" s="9"/>
      <c r="B8" s="9"/>
      <c r="C8" s="9"/>
      <c r="D8" s="9"/>
      <c r="E8" s="9"/>
      <c r="F8" s="9"/>
    </row>
    <row r="9" customFormat="false" ht="17.35" hidden="false" customHeight="false" outlineLevel="0" collapsed="false">
      <c r="A9" s="9"/>
      <c r="B9" s="9"/>
      <c r="C9" s="9"/>
      <c r="D9" s="9"/>
      <c r="E9" s="261" t="str">
        <f aca="false">IF(ISBLANK(Seznam_do_35_účastníků!C2),IF(ISBLANK(Seznam_do_70_účastníků!C2)," ",Seznam_do_70_účastníků!C2),Seznam_do_35_účastníků!C2)</f>
        <v>Šán</v>
      </c>
      <c r="F9" s="10"/>
      <c r="G9" s="11"/>
    </row>
    <row r="10" customFormat="false" ht="12.75" hidden="false" customHeight="false" outlineLevel="0" collapsed="false">
      <c r="A10" s="9"/>
      <c r="B10" s="9"/>
      <c r="C10" s="9"/>
      <c r="D10" s="9"/>
      <c r="E10" s="33"/>
      <c r="F10" s="9"/>
    </row>
    <row r="11" customFormat="false" ht="12.75" hidden="false" customHeight="false" outlineLevel="0" collapsed="false">
      <c r="A11" s="19" t="n">
        <v>3</v>
      </c>
      <c r="B11" s="262" t="s">
        <v>234</v>
      </c>
      <c r="C11" s="262"/>
      <c r="D11" s="262"/>
      <c r="E11" s="262"/>
      <c r="F11" s="262"/>
      <c r="G11" s="262"/>
    </row>
    <row r="12" customFormat="false" ht="15" hidden="false" customHeight="false" outlineLevel="0" collapsed="false">
      <c r="A12" s="36"/>
      <c r="B12" s="262"/>
      <c r="C12" s="262"/>
      <c r="D12" s="262"/>
      <c r="E12" s="262"/>
      <c r="F12" s="262"/>
      <c r="G12" s="262"/>
    </row>
    <row r="13" customFormat="false" ht="12.75" hidden="false" customHeight="false" outlineLevel="0" collapsed="false">
      <c r="B13" s="262"/>
      <c r="C13" s="262"/>
      <c r="D13" s="262"/>
      <c r="E13" s="262"/>
      <c r="F13" s="262"/>
      <c r="G13" s="262"/>
    </row>
    <row r="14" customFormat="false" ht="12.75" hidden="false" customHeight="false" outlineLevel="0" collapsed="false">
      <c r="B14" s="262"/>
      <c r="C14" s="262"/>
      <c r="D14" s="262"/>
      <c r="E14" s="262"/>
      <c r="F14" s="262"/>
      <c r="G14" s="262"/>
    </row>
    <row r="15" customFormat="false" ht="12.75" hidden="false" customHeight="false" outlineLevel="0" collapsed="false">
      <c r="B15" s="262"/>
      <c r="C15" s="262"/>
      <c r="D15" s="262"/>
      <c r="E15" s="262"/>
      <c r="F15" s="262"/>
      <c r="G15" s="262"/>
    </row>
    <row r="16" customFormat="false" ht="12.75" hidden="false" customHeight="false" outlineLevel="0" collapsed="false">
      <c r="B16" s="262"/>
      <c r="C16" s="262"/>
      <c r="D16" s="262"/>
      <c r="E16" s="262"/>
      <c r="F16" s="262"/>
      <c r="G16" s="262"/>
    </row>
    <row r="17" customFormat="false" ht="15.75" hidden="false" customHeight="true" outlineLevel="0" collapsed="false">
      <c r="B17" s="262"/>
      <c r="C17" s="262"/>
      <c r="D17" s="262"/>
      <c r="E17" s="262"/>
      <c r="F17" s="262"/>
      <c r="G17" s="262"/>
    </row>
    <row r="18" customFormat="false" ht="12.75" hidden="false" customHeight="false" outlineLevel="0" collapsed="false">
      <c r="B18" s="262"/>
      <c r="C18" s="262"/>
      <c r="D18" s="262"/>
      <c r="E18" s="262"/>
      <c r="F18" s="262"/>
      <c r="G18" s="262"/>
    </row>
    <row r="19" customFormat="false" ht="12.75" hidden="false" customHeight="false" outlineLevel="0" collapsed="false">
      <c r="B19" s="262"/>
      <c r="C19" s="262"/>
      <c r="D19" s="262"/>
      <c r="E19" s="262"/>
      <c r="F19" s="262"/>
      <c r="G19" s="262"/>
      <c r="I19" s="41"/>
    </row>
    <row r="20" customFormat="false" ht="12.75" hidden="false" customHeight="false" outlineLevel="0" collapsed="false">
      <c r="B20" s="262"/>
      <c r="C20" s="262"/>
      <c r="D20" s="262"/>
      <c r="E20" s="262"/>
      <c r="F20" s="262"/>
      <c r="G20" s="262"/>
    </row>
    <row r="21" customFormat="false" ht="12.75" hidden="false" customHeight="false" outlineLevel="0" collapsed="false">
      <c r="B21" s="262"/>
      <c r="C21" s="262"/>
      <c r="D21" s="262"/>
      <c r="E21" s="262"/>
      <c r="F21" s="262"/>
      <c r="G21" s="262"/>
    </row>
    <row r="22" customFormat="false" ht="12.75" hidden="false" customHeight="false" outlineLevel="0" collapsed="false">
      <c r="B22" s="262"/>
      <c r="C22" s="262"/>
      <c r="D22" s="262"/>
      <c r="E22" s="262"/>
      <c r="F22" s="262"/>
      <c r="G22" s="262"/>
    </row>
    <row r="23" customFormat="false" ht="12.75" hidden="false" customHeight="false" outlineLevel="0" collapsed="false">
      <c r="B23" s="262"/>
      <c r="C23" s="262"/>
      <c r="D23" s="262"/>
      <c r="E23" s="262"/>
      <c r="F23" s="262"/>
      <c r="G23" s="262"/>
    </row>
    <row r="24" customFormat="false" ht="12.75" hidden="false" customHeight="false" outlineLevel="0" collapsed="false">
      <c r="B24" s="262"/>
      <c r="C24" s="262"/>
      <c r="D24" s="262"/>
      <c r="E24" s="262"/>
      <c r="F24" s="262"/>
      <c r="G24" s="262"/>
    </row>
    <row r="25" customFormat="false" ht="12.75" hidden="false" customHeight="false" outlineLevel="0" collapsed="false">
      <c r="B25" s="262"/>
      <c r="C25" s="262"/>
      <c r="D25" s="262"/>
      <c r="E25" s="262"/>
      <c r="F25" s="262"/>
      <c r="G25" s="262"/>
    </row>
    <row r="26" customFormat="false" ht="12.75" hidden="false" customHeight="false" outlineLevel="0" collapsed="false">
      <c r="B26" s="262"/>
      <c r="C26" s="262"/>
      <c r="D26" s="262"/>
      <c r="E26" s="262"/>
      <c r="F26" s="262"/>
      <c r="G26" s="262"/>
    </row>
    <row r="27" customFormat="false" ht="12.75" hidden="false" customHeight="false" outlineLevel="0" collapsed="false">
      <c r="B27" s="262"/>
      <c r="C27" s="262"/>
      <c r="D27" s="262"/>
      <c r="E27" s="262"/>
      <c r="F27" s="262"/>
      <c r="G27" s="262"/>
    </row>
    <row r="28" customFormat="false" ht="12.75" hidden="false" customHeight="false" outlineLevel="0" collapsed="false">
      <c r="B28" s="262"/>
      <c r="C28" s="262"/>
      <c r="D28" s="262"/>
      <c r="E28" s="262"/>
      <c r="F28" s="262"/>
      <c r="G28" s="262"/>
    </row>
    <row r="29" customFormat="false" ht="12.75" hidden="false" customHeight="false" outlineLevel="0" collapsed="false">
      <c r="B29" s="262"/>
      <c r="C29" s="262"/>
      <c r="D29" s="262"/>
      <c r="E29" s="262"/>
      <c r="F29" s="262"/>
      <c r="G29" s="262"/>
    </row>
    <row r="30" customFormat="false" ht="12.75" hidden="false" customHeight="false" outlineLevel="0" collapsed="false">
      <c r="B30" s="262"/>
      <c r="C30" s="262"/>
      <c r="D30" s="262"/>
      <c r="E30" s="262"/>
      <c r="F30" s="262"/>
      <c r="G30" s="262"/>
    </row>
    <row r="31" customFormat="false" ht="12.75" hidden="false" customHeight="false" outlineLevel="0" collapsed="false">
      <c r="B31" s="262"/>
      <c r="C31" s="262"/>
      <c r="D31" s="262"/>
      <c r="E31" s="262"/>
      <c r="F31" s="262"/>
      <c r="G31" s="262"/>
    </row>
    <row r="32" customFormat="false" ht="12.75" hidden="false" customHeight="false" outlineLevel="0" collapsed="false">
      <c r="B32" s="262"/>
      <c r="C32" s="262"/>
      <c r="D32" s="262"/>
      <c r="E32" s="262"/>
      <c r="F32" s="262"/>
      <c r="G32" s="262"/>
    </row>
    <row r="33" customFormat="false" ht="12.75" hidden="false" customHeight="false" outlineLevel="0" collapsed="false">
      <c r="B33" s="262"/>
      <c r="C33" s="262"/>
      <c r="D33" s="262"/>
      <c r="E33" s="262"/>
      <c r="F33" s="262"/>
      <c r="G33" s="262"/>
    </row>
    <row r="34" customFormat="false" ht="12.75" hidden="false" customHeight="false" outlineLevel="0" collapsed="false">
      <c r="B34" s="262"/>
      <c r="C34" s="262"/>
      <c r="D34" s="262"/>
      <c r="E34" s="262"/>
      <c r="F34" s="262"/>
      <c r="G34" s="262"/>
    </row>
    <row r="35" customFormat="false" ht="12.75" hidden="false" customHeight="false" outlineLevel="0" collapsed="false">
      <c r="B35" s="262"/>
      <c r="C35" s="262"/>
      <c r="D35" s="262"/>
      <c r="E35" s="262"/>
      <c r="F35" s="262"/>
      <c r="G35" s="262"/>
    </row>
    <row r="36" customFormat="false" ht="12.75" hidden="false" customHeight="false" outlineLevel="0" collapsed="false">
      <c r="B36" s="262"/>
      <c r="C36" s="262"/>
      <c r="D36" s="262"/>
      <c r="E36" s="262"/>
      <c r="F36" s="262"/>
      <c r="G36" s="262"/>
    </row>
    <row r="37" customFormat="false" ht="12.75" hidden="false" customHeight="false" outlineLevel="0" collapsed="false">
      <c r="B37" s="262"/>
      <c r="C37" s="262"/>
      <c r="D37" s="262"/>
      <c r="E37" s="262"/>
      <c r="F37" s="262"/>
      <c r="G37" s="262"/>
    </row>
    <row r="38" customFormat="false" ht="12.75" hidden="false" customHeight="false" outlineLevel="0" collapsed="false">
      <c r="B38" s="262"/>
      <c r="C38" s="262"/>
      <c r="D38" s="262"/>
      <c r="E38" s="262"/>
      <c r="F38" s="262"/>
      <c r="G38" s="262"/>
    </row>
    <row r="41" customFormat="false" ht="15" hidden="false" customHeight="false" outlineLevel="0" collapsed="false">
      <c r="B41" s="37" t="str">
        <f aca="true">IF(LEN($E$9)&gt;1,"Datum: "&amp;IF(ISNUMBER(VALUE(TEXT(TODAY(),"rrrr"))),TEXT(TODAY(),"dd.mm.rrrr"),TEXT(TODAY(),"dd.mm.yyyy")),"Datum: ........................................")</f>
        <v>Datum: 01.09.2026</v>
      </c>
      <c r="D41" s="37"/>
      <c r="E41" s="37"/>
      <c r="F41" s="38" t="s">
        <v>38</v>
      </c>
      <c r="G41" s="39"/>
    </row>
    <row r="42" customFormat="false" ht="15" hidden="false" customHeight="false" outlineLevel="0" collapsed="false">
      <c r="F42" s="38" t="s">
        <v>39</v>
      </c>
      <c r="G42" s="39"/>
    </row>
    <row r="43" customFormat="false" ht="12.75" hidden="false" customHeight="false" outlineLevel="0" collapsed="false">
      <c r="G43" s="35" t="str">
        <f aca="false">"V1©16/9/2009 Hop"</f>
        <v>V1©16/9/2009 Hop</v>
      </c>
    </row>
  </sheetData>
  <sheetProtection sheet="true"/>
  <mergeCells count="4">
    <mergeCell ref="A1:G1"/>
    <mergeCell ref="A2:G2"/>
    <mergeCell ref="G3:G5"/>
    <mergeCell ref="B11:G38"/>
  </mergeCells>
  <printOptions headings="false" gridLines="false" gridLinesSet="true" horizontalCentered="false" verticalCentered="false"/>
  <pageMargins left="0.7875" right="0.7875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0390625" defaultRowHeight="12.75" zeroHeight="false" outlineLevelRow="0" outlineLevelCol="0"/>
  <cols>
    <col collapsed="false" customWidth="false" hidden="false" outlineLevel="0" max="1" min="1" style="198" width="9"/>
    <col collapsed="false" customWidth="true" hidden="false" outlineLevel="0" max="2" min="2" style="198" width="12"/>
    <col collapsed="false" customWidth="true" hidden="false" outlineLevel="0" max="3" min="3" style="198" width="19.57"/>
    <col collapsed="false" customWidth="true" hidden="false" outlineLevel="0" max="4" min="4" style="198" width="12.71"/>
    <col collapsed="false" customWidth="true" hidden="false" outlineLevel="0" max="5" min="5" style="198" width="11.29"/>
    <col collapsed="false" customWidth="true" hidden="false" outlineLevel="0" max="6" min="6" style="198" width="11.57"/>
    <col collapsed="false" customWidth="true" hidden="false" outlineLevel="0" max="7" min="7" style="198" width="11.85"/>
    <col collapsed="false" customWidth="false" hidden="false" outlineLevel="0" max="9" min="8" style="198" width="9"/>
    <col collapsed="false" customWidth="true" hidden="false" outlineLevel="0" max="10" min="10" style="198" width="18"/>
    <col collapsed="false" customWidth="false" hidden="false" outlineLevel="0" max="11" min="11" style="198" width="9"/>
    <col collapsed="false" customWidth="true" hidden="false" outlineLevel="0" max="12" min="12" style="198" width="7.16"/>
    <col collapsed="false" customWidth="true" hidden="false" outlineLevel="0" max="13" min="13" style="198" width="7.71"/>
    <col collapsed="false" customWidth="true" hidden="false" outlineLevel="0" max="14" min="14" style="198" width="7"/>
    <col collapsed="false" customWidth="false" hidden="false" outlineLevel="0" max="16384" min="15" style="198" width="9"/>
  </cols>
  <sheetData>
    <row r="1" customFormat="false" ht="16.15" hidden="false" customHeight="false" outlineLevel="0" collapsed="false">
      <c r="A1" s="201" t="str">
        <f aca="false">'Seznam účastníků'!A1</f>
        <v>Kondor - Skupina ŠÁN - Podolské nábřeží 5, Praha 4 - Podolí, 147 00</v>
      </c>
    </row>
    <row r="2" customFormat="false" ht="17.35" hidden="false" customHeight="false" outlineLevel="0" collapsed="false">
      <c r="A2" s="231" t="str">
        <f aca="false">'Seznam účastníků'!A2</f>
        <v>Neočekávaný dýchánek</v>
      </c>
    </row>
    <row r="4" customFormat="false" ht="12.75" hidden="false" customHeight="false" outlineLevel="0" collapsed="false">
      <c r="A4" s="198" t="s">
        <v>193</v>
      </c>
      <c r="B4" s="232" t="n">
        <f aca="false">'Seznam účastníků'!B4</f>
        <v>0</v>
      </c>
      <c r="C4" s="232"/>
    </row>
    <row r="5" customFormat="false" ht="12.75" hidden="false" customHeight="false" outlineLevel="0" collapsed="false">
      <c r="A5" s="198" t="s">
        <v>194</v>
      </c>
      <c r="B5" s="233" t="n">
        <f aca="false">'Seznam účastníků'!B5</f>
        <v>0</v>
      </c>
      <c r="C5" s="233"/>
      <c r="E5" s="263"/>
    </row>
    <row r="6" customFormat="false" ht="12.75" hidden="false" customHeight="false" outlineLevel="0" collapsed="false">
      <c r="A6" s="198" t="s">
        <v>195</v>
      </c>
      <c r="B6" s="233" t="n">
        <f aca="false">'Seznam účastníků'!B6</f>
        <v>0</v>
      </c>
      <c r="C6" s="233"/>
      <c r="E6" s="263"/>
    </row>
    <row r="7" customFormat="false" ht="12.75" hidden="false" customHeight="false" outlineLevel="0" collapsed="false">
      <c r="A7" s="198" t="s">
        <v>196</v>
      </c>
      <c r="B7" s="232" t="n">
        <f aca="false">'Seznam účastníků'!B7</f>
        <v>0</v>
      </c>
      <c r="C7" s="232"/>
    </row>
    <row r="9" customFormat="false" ht="12.75" hidden="false" customHeight="false" outlineLevel="0" collapsed="false">
      <c r="A9" s="264" t="s">
        <v>235</v>
      </c>
      <c r="B9" s="265" t="s">
        <v>65</v>
      </c>
      <c r="C9" s="265" t="s">
        <v>66</v>
      </c>
      <c r="D9" s="265" t="s">
        <v>236</v>
      </c>
      <c r="E9" s="265" t="s">
        <v>237</v>
      </c>
      <c r="F9" s="265" t="s">
        <v>238</v>
      </c>
      <c r="G9" s="265" t="s">
        <v>239</v>
      </c>
    </row>
    <row r="10" customFormat="false" ht="12.75" hidden="false" customHeight="false" outlineLevel="0" collapsed="false">
      <c r="B10" s="266" t="str">
        <f aca="false">'Přehled o vybraných poplatcích'!B12</f>
        <v/>
      </c>
      <c r="C10" s="266" t="str">
        <f aca="false">'Přehled o vybraných poplatcích'!C12</f>
        <v/>
      </c>
      <c r="D10" s="267"/>
      <c r="E10" s="267" t="str">
        <f aca="false">'Přehled o vybraných poplatcích'!E12</f>
        <v/>
      </c>
      <c r="F10" s="267" t="str">
        <f aca="false">IF(NOT(ISBLANK('Seznam účastníků'!B19)),D10-E10,"")</f>
        <v/>
      </c>
      <c r="G10" s="268"/>
    </row>
    <row r="11" customFormat="false" ht="12.75" hidden="false" customHeight="false" outlineLevel="0" collapsed="false">
      <c r="B11" s="266" t="str">
        <f aca="false">'Přehled o vybraných poplatcích'!B13</f>
        <v/>
      </c>
      <c r="C11" s="266" t="str">
        <f aca="false">'Přehled o vybraných poplatcích'!C13</f>
        <v/>
      </c>
      <c r="D11" s="267"/>
      <c r="E11" s="267" t="str">
        <f aca="false">'Přehled o vybraných poplatcích'!E13</f>
        <v/>
      </c>
      <c r="F11" s="267" t="str">
        <f aca="false">IF(NOT(ISBLANK('Seznam účastníků'!B20)),D11-E11,"")</f>
        <v/>
      </c>
      <c r="G11" s="268"/>
    </row>
    <row r="12" customFormat="false" ht="12.75" hidden="false" customHeight="false" outlineLevel="0" collapsed="false">
      <c r="B12" s="266" t="str">
        <f aca="false">'Přehled o vybraných poplatcích'!B14</f>
        <v/>
      </c>
      <c r="C12" s="266" t="str">
        <f aca="false">'Přehled o vybraných poplatcích'!C14</f>
        <v/>
      </c>
      <c r="D12" s="267"/>
      <c r="E12" s="267" t="str">
        <f aca="false">'Přehled o vybraných poplatcích'!E14</f>
        <v/>
      </c>
      <c r="F12" s="267" t="str">
        <f aca="false">IF(NOT(ISBLANK('Seznam účastníků'!B21)),D12-E12,"")</f>
        <v/>
      </c>
      <c r="G12" s="268"/>
    </row>
    <row r="13" customFormat="false" ht="12.75" hidden="false" customHeight="false" outlineLevel="0" collapsed="false">
      <c r="B13" s="266" t="str">
        <f aca="false">'Přehled o vybraných poplatcích'!B15</f>
        <v/>
      </c>
      <c r="C13" s="266" t="str">
        <f aca="false">'Přehled o vybraných poplatcích'!C15</f>
        <v/>
      </c>
      <c r="D13" s="267"/>
      <c r="E13" s="267" t="str">
        <f aca="false">'Přehled o vybraných poplatcích'!E15</f>
        <v/>
      </c>
      <c r="F13" s="267" t="str">
        <f aca="false">IF(NOT(ISBLANK('Seznam účastníků'!B22)),D13-E13,"")</f>
        <v/>
      </c>
      <c r="G13" s="268"/>
    </row>
    <row r="14" customFormat="false" ht="12.75" hidden="false" customHeight="false" outlineLevel="0" collapsed="false">
      <c r="B14" s="266" t="str">
        <f aca="false">'Přehled o vybraných poplatcích'!B16</f>
        <v/>
      </c>
      <c r="C14" s="266" t="str">
        <f aca="false">'Přehled o vybraných poplatcích'!C16</f>
        <v/>
      </c>
      <c r="D14" s="267"/>
      <c r="E14" s="267" t="str">
        <f aca="false">'Přehled o vybraných poplatcích'!E16</f>
        <v/>
      </c>
      <c r="F14" s="267" t="str">
        <f aca="false">IF(NOT(ISBLANK('Seznam účastníků'!B23)),D14-E14,"")</f>
        <v/>
      </c>
      <c r="G14" s="268"/>
      <c r="H14" s="235"/>
    </row>
    <row r="15" customFormat="false" ht="12.75" hidden="false" customHeight="false" outlineLevel="0" collapsed="false">
      <c r="B15" s="266" t="str">
        <f aca="false">'Přehled o vybraných poplatcích'!B17</f>
        <v/>
      </c>
      <c r="C15" s="266" t="str">
        <f aca="false">'Přehled o vybraných poplatcích'!C17</f>
        <v/>
      </c>
      <c r="D15" s="267"/>
      <c r="E15" s="267" t="str">
        <f aca="false">'Přehled o vybraných poplatcích'!E17</f>
        <v/>
      </c>
      <c r="F15" s="267" t="str">
        <f aca="false">IF(NOT(ISBLANK('Seznam účastníků'!B24)),D15-E15,"")</f>
        <v/>
      </c>
      <c r="G15" s="268"/>
    </row>
    <row r="16" customFormat="false" ht="12.75" hidden="false" customHeight="false" outlineLevel="0" collapsed="false">
      <c r="B16" s="266" t="str">
        <f aca="false">'Přehled o vybraných poplatcích'!B18</f>
        <v/>
      </c>
      <c r="C16" s="266" t="str">
        <f aca="false">'Přehled o vybraných poplatcích'!C18</f>
        <v/>
      </c>
      <c r="D16" s="267"/>
      <c r="E16" s="267" t="str">
        <f aca="false">'Přehled o vybraných poplatcích'!E18</f>
        <v/>
      </c>
      <c r="F16" s="267" t="str">
        <f aca="false">IF(NOT(ISBLANK('Seznam účastníků'!B25)),D16-E16,"")</f>
        <v/>
      </c>
      <c r="G16" s="268"/>
    </row>
    <row r="17" customFormat="false" ht="12.75" hidden="false" customHeight="false" outlineLevel="0" collapsed="false">
      <c r="B17" s="266" t="str">
        <f aca="false">'Přehled o vybraných poplatcích'!B19</f>
        <v/>
      </c>
      <c r="C17" s="266" t="str">
        <f aca="false">'Přehled o vybraných poplatcích'!C19</f>
        <v/>
      </c>
      <c r="D17" s="267"/>
      <c r="E17" s="267" t="str">
        <f aca="false">'Přehled o vybraných poplatcích'!E19</f>
        <v/>
      </c>
      <c r="F17" s="267" t="str">
        <f aca="false">IF(NOT(ISBLANK('Seznam účastníků'!B26)),D17-E17,"")</f>
        <v/>
      </c>
      <c r="G17" s="268"/>
    </row>
    <row r="18" customFormat="false" ht="12.75" hidden="false" customHeight="false" outlineLevel="0" collapsed="false">
      <c r="B18" s="266" t="str">
        <f aca="false">'Přehled o vybraných poplatcích'!B20</f>
        <v/>
      </c>
      <c r="C18" s="266" t="str">
        <f aca="false">'Přehled o vybraných poplatcích'!C20</f>
        <v/>
      </c>
      <c r="D18" s="267"/>
      <c r="E18" s="267" t="str">
        <f aca="false">'Přehled o vybraných poplatcích'!E20</f>
        <v/>
      </c>
      <c r="F18" s="267" t="str">
        <f aca="false">IF(NOT(ISBLANK('Seznam účastníků'!B27)),D18-E18,"")</f>
        <v/>
      </c>
      <c r="G18" s="268"/>
      <c r="H18" s="235"/>
    </row>
    <row r="19" customFormat="false" ht="12.75" hidden="false" customHeight="false" outlineLevel="0" collapsed="false">
      <c r="B19" s="266" t="str">
        <f aca="false">'Přehled o vybraných poplatcích'!B21</f>
        <v/>
      </c>
      <c r="C19" s="266" t="str">
        <f aca="false">'Přehled o vybraných poplatcích'!C21</f>
        <v/>
      </c>
      <c r="D19" s="267"/>
      <c r="E19" s="267" t="str">
        <f aca="false">'Přehled o vybraných poplatcích'!E21</f>
        <v/>
      </c>
      <c r="F19" s="267" t="str">
        <f aca="false">IF(NOT(ISBLANK('Seznam účastníků'!B28)),D19-E19,"")</f>
        <v/>
      </c>
      <c r="G19" s="268"/>
    </row>
    <row r="20" customFormat="false" ht="12.75" hidden="false" customHeight="false" outlineLevel="0" collapsed="false">
      <c r="B20" s="266" t="str">
        <f aca="false">'Přehled o vybraných poplatcích'!B22</f>
        <v/>
      </c>
      <c r="C20" s="266" t="str">
        <f aca="false">'Přehled o vybraných poplatcích'!C22</f>
        <v/>
      </c>
      <c r="D20" s="267"/>
      <c r="E20" s="267" t="str">
        <f aca="false">'Přehled o vybraných poplatcích'!E22</f>
        <v/>
      </c>
      <c r="F20" s="267" t="str">
        <f aca="false">IF(NOT(ISBLANK('Seznam účastníků'!B29)),D20-E20,"")</f>
        <v/>
      </c>
      <c r="G20" s="268"/>
    </row>
    <row r="21" customFormat="false" ht="12.75" hidden="false" customHeight="false" outlineLevel="0" collapsed="false">
      <c r="B21" s="266" t="str">
        <f aca="false">'Přehled o vybraných poplatcích'!B23</f>
        <v/>
      </c>
      <c r="C21" s="266" t="str">
        <f aca="false">'Přehled o vybraných poplatcích'!C23</f>
        <v/>
      </c>
      <c r="D21" s="267"/>
      <c r="E21" s="267" t="str">
        <f aca="false">'Přehled o vybraných poplatcích'!E23</f>
        <v/>
      </c>
      <c r="F21" s="267" t="str">
        <f aca="false">IF(NOT(ISBLANK('Seznam účastníků'!B30)),D21-E21,"")</f>
        <v/>
      </c>
      <c r="G21" s="268"/>
    </row>
    <row r="22" customFormat="false" ht="12.75" hidden="false" customHeight="false" outlineLevel="0" collapsed="false">
      <c r="B22" s="266" t="str">
        <f aca="false">'Přehled o vybraných poplatcích'!B24</f>
        <v/>
      </c>
      <c r="C22" s="266" t="str">
        <f aca="false">'Přehled o vybraných poplatcích'!C24</f>
        <v/>
      </c>
      <c r="D22" s="267"/>
      <c r="E22" s="267" t="str">
        <f aca="false">'Přehled o vybraných poplatcích'!E24</f>
        <v/>
      </c>
      <c r="F22" s="267" t="str">
        <f aca="false">IF(NOT(ISBLANK('Seznam účastníků'!B31)),D22-E22,"")</f>
        <v/>
      </c>
      <c r="G22" s="268"/>
    </row>
    <row r="23" customFormat="false" ht="12.75" hidden="false" customHeight="false" outlineLevel="0" collapsed="false">
      <c r="B23" s="266" t="str">
        <f aca="false">'Přehled o vybraných poplatcích'!B25</f>
        <v/>
      </c>
      <c r="C23" s="266" t="str">
        <f aca="false">'Přehled o vybraných poplatcích'!C25</f>
        <v/>
      </c>
      <c r="D23" s="267"/>
      <c r="E23" s="267" t="str">
        <f aca="false">'Přehled o vybraných poplatcích'!E25</f>
        <v/>
      </c>
      <c r="F23" s="267" t="str">
        <f aca="false">IF(NOT(ISBLANK('Seznam účastníků'!B32)),D23-E23,"")</f>
        <v/>
      </c>
      <c r="G23" s="268"/>
    </row>
    <row r="24" customFormat="false" ht="12.75" hidden="false" customHeight="false" outlineLevel="0" collapsed="false">
      <c r="B24" s="266" t="str">
        <f aca="false">'Přehled o vybraných poplatcích'!B26</f>
        <v/>
      </c>
      <c r="C24" s="266" t="str">
        <f aca="false">'Přehled o vybraných poplatcích'!C26</f>
        <v/>
      </c>
      <c r="D24" s="267"/>
      <c r="E24" s="267" t="str">
        <f aca="false">'Přehled o vybraných poplatcích'!E26</f>
        <v/>
      </c>
      <c r="F24" s="267" t="str">
        <f aca="false">IF(NOT(ISBLANK('Seznam účastníků'!B33)),D24-E24,"")</f>
        <v/>
      </c>
      <c r="G24" s="268"/>
    </row>
    <row r="25" customFormat="false" ht="12.75" hidden="false" customHeight="false" outlineLevel="0" collapsed="false">
      <c r="B25" s="266" t="str">
        <f aca="false">'Přehled o vybraných poplatcích'!B27</f>
        <v/>
      </c>
      <c r="C25" s="266" t="str">
        <f aca="false">'Přehled o vybraných poplatcích'!C27</f>
        <v/>
      </c>
      <c r="D25" s="267"/>
      <c r="E25" s="267" t="str">
        <f aca="false">'Přehled o vybraných poplatcích'!E27</f>
        <v/>
      </c>
      <c r="F25" s="267" t="str">
        <f aca="false">IF(NOT(ISBLANK('Seznam účastníků'!B34)),D25-E25,"")</f>
        <v/>
      </c>
      <c r="G25" s="268"/>
    </row>
    <row r="26" customFormat="false" ht="12.75" hidden="false" customHeight="false" outlineLevel="0" collapsed="false">
      <c r="B26" s="266" t="str">
        <f aca="false">'Přehled o vybraných poplatcích'!B28</f>
        <v/>
      </c>
      <c r="C26" s="266" t="str">
        <f aca="false">'Přehled o vybraných poplatcích'!C28</f>
        <v/>
      </c>
      <c r="D26" s="267"/>
      <c r="E26" s="267" t="str">
        <f aca="false">'Přehled o vybraných poplatcích'!E28</f>
        <v/>
      </c>
      <c r="F26" s="267" t="str">
        <f aca="false">IF(NOT(ISBLANK('Seznam účastníků'!B35)),D26-E26,"")</f>
        <v/>
      </c>
      <c r="G26" s="268"/>
    </row>
    <row r="27" customFormat="false" ht="12.75" hidden="false" customHeight="false" outlineLevel="0" collapsed="false">
      <c r="B27" s="266" t="str">
        <f aca="false">'Přehled o vybraných poplatcích'!B29</f>
        <v/>
      </c>
      <c r="C27" s="266" t="str">
        <f aca="false">'Přehled o vybraných poplatcích'!C29</f>
        <v/>
      </c>
      <c r="D27" s="267"/>
      <c r="E27" s="267" t="str">
        <f aca="false">'Přehled o vybraných poplatcích'!E29</f>
        <v/>
      </c>
      <c r="F27" s="267" t="str">
        <f aca="false">IF(NOT(ISBLANK('Seznam účastníků'!B36)),D27-E27,"")</f>
        <v/>
      </c>
      <c r="G27" s="268"/>
    </row>
    <row r="28" customFormat="false" ht="12.75" hidden="false" customHeight="false" outlineLevel="0" collapsed="false">
      <c r="B28" s="266" t="str">
        <f aca="false">'Přehled o vybraných poplatcích'!B30</f>
        <v/>
      </c>
      <c r="C28" s="266" t="str">
        <f aca="false">'Přehled o vybraných poplatcích'!C30</f>
        <v/>
      </c>
      <c r="D28" s="267"/>
      <c r="E28" s="267" t="str">
        <f aca="false">'Přehled o vybraných poplatcích'!E30</f>
        <v/>
      </c>
      <c r="F28" s="267" t="str">
        <f aca="false">IF(NOT(ISBLANK('Seznam účastníků'!B37)),D28-E28,"")</f>
        <v/>
      </c>
      <c r="G28" s="268"/>
    </row>
    <row r="29" customFormat="false" ht="12.75" hidden="false" customHeight="false" outlineLevel="0" collapsed="false">
      <c r="B29" s="266" t="str">
        <f aca="false">'Přehled o vybraných poplatcích'!B31</f>
        <v/>
      </c>
      <c r="C29" s="266" t="str">
        <f aca="false">'Přehled o vybraných poplatcích'!C31</f>
        <v/>
      </c>
      <c r="D29" s="267"/>
      <c r="E29" s="267" t="str">
        <f aca="false">'Přehled o vybraných poplatcích'!E31</f>
        <v/>
      </c>
      <c r="F29" s="267" t="str">
        <f aca="false">IF(NOT(ISBLANK('Seznam účastníků'!B38)),D29-E29,"")</f>
        <v/>
      </c>
      <c r="G29" s="268"/>
    </row>
    <row r="30" customFormat="false" ht="12.75" hidden="false" customHeight="false" outlineLevel="0" collapsed="false">
      <c r="B30" s="266" t="str">
        <f aca="false">'Přehled o vybraných poplatcích'!B32</f>
        <v/>
      </c>
      <c r="C30" s="266" t="str">
        <f aca="false">'Přehled o vybraných poplatcích'!C32</f>
        <v/>
      </c>
      <c r="D30" s="267"/>
      <c r="E30" s="267" t="str">
        <f aca="false">'Přehled o vybraných poplatcích'!E32</f>
        <v/>
      </c>
      <c r="F30" s="267" t="str">
        <f aca="false">IF(NOT(ISBLANK('Seznam účastníků'!B39)),D30-E30,"")</f>
        <v/>
      </c>
      <c r="G30" s="268"/>
    </row>
    <row r="31" customFormat="false" ht="12.75" hidden="false" customHeight="false" outlineLevel="0" collapsed="false">
      <c r="B31" s="266" t="str">
        <f aca="false">'Přehled o vybraných poplatcích'!B33</f>
        <v/>
      </c>
      <c r="C31" s="266" t="str">
        <f aca="false">'Přehled o vybraných poplatcích'!C33</f>
        <v/>
      </c>
      <c r="D31" s="267"/>
      <c r="E31" s="267" t="str">
        <f aca="false">'Přehled o vybraných poplatcích'!E33</f>
        <v/>
      </c>
      <c r="F31" s="267" t="str">
        <f aca="false">IF(NOT(ISBLANK('Seznam účastníků'!B40)),D31-E31,"")</f>
        <v/>
      </c>
      <c r="G31" s="268"/>
    </row>
    <row r="32" customFormat="false" ht="12.75" hidden="false" customHeight="false" outlineLevel="0" collapsed="false">
      <c r="B32" s="266" t="str">
        <f aca="false">'Přehled o vybraných poplatcích'!B34</f>
        <v/>
      </c>
      <c r="C32" s="266" t="str">
        <f aca="false">'Přehled o vybraných poplatcích'!C34</f>
        <v/>
      </c>
      <c r="D32" s="267"/>
      <c r="E32" s="267" t="str">
        <f aca="false">'Přehled o vybraných poplatcích'!E34</f>
        <v/>
      </c>
      <c r="F32" s="267" t="str">
        <f aca="false">IF(NOT(ISBLANK('Seznam účastníků'!B41)),D32-E32,"")</f>
        <v/>
      </c>
      <c r="G32" s="268"/>
    </row>
    <row r="33" customFormat="false" ht="12.75" hidden="false" customHeight="false" outlineLevel="0" collapsed="false">
      <c r="B33" s="266" t="str">
        <f aca="false">'Přehled o vybraných poplatcích'!B35</f>
        <v/>
      </c>
      <c r="C33" s="266" t="str">
        <f aca="false">'Přehled o vybraných poplatcích'!C35</f>
        <v/>
      </c>
      <c r="D33" s="267"/>
      <c r="E33" s="267" t="str">
        <f aca="false">'Přehled o vybraných poplatcích'!E35</f>
        <v/>
      </c>
      <c r="F33" s="267" t="str">
        <f aca="false">IF(NOT(ISBLANK('Seznam účastníků'!B42)),D33-E33,"")</f>
        <v/>
      </c>
      <c r="G33" s="268"/>
    </row>
    <row r="34" customFormat="false" ht="12.75" hidden="false" customHeight="false" outlineLevel="0" collapsed="false">
      <c r="B34" s="266" t="str">
        <f aca="false">'Přehled o vybraných poplatcích'!B36</f>
        <v/>
      </c>
      <c r="C34" s="266" t="str">
        <f aca="false">'Přehled o vybraných poplatcích'!C36</f>
        <v/>
      </c>
      <c r="D34" s="267"/>
      <c r="E34" s="267" t="str">
        <f aca="false">'Přehled o vybraných poplatcích'!E36</f>
        <v/>
      </c>
      <c r="F34" s="267" t="str">
        <f aca="false">IF(NOT(ISBLANK('Seznam účastníků'!B43)),D34-E34,"")</f>
        <v/>
      </c>
      <c r="G34" s="268"/>
    </row>
    <row r="35" customFormat="false" ht="12.75" hidden="false" customHeight="false" outlineLevel="0" collapsed="false">
      <c r="B35" s="266" t="str">
        <f aca="false">'Přehled o vybraných poplatcích'!B37</f>
        <v/>
      </c>
      <c r="C35" s="266" t="str">
        <f aca="false">'Přehled o vybraných poplatcích'!C37</f>
        <v/>
      </c>
      <c r="D35" s="267"/>
      <c r="E35" s="267" t="str">
        <f aca="false">'Přehled o vybraných poplatcích'!E37</f>
        <v/>
      </c>
      <c r="F35" s="267" t="str">
        <f aca="false">IF(NOT(ISBLANK('Seznam účastníků'!B44)),D35-E35,"")</f>
        <v/>
      </c>
      <c r="G35" s="268"/>
    </row>
    <row r="36" customFormat="false" ht="12.75" hidden="false" customHeight="false" outlineLevel="0" collapsed="false">
      <c r="B36" s="266" t="str">
        <f aca="false">'Přehled o vybraných poplatcích'!B38</f>
        <v/>
      </c>
      <c r="C36" s="266" t="str">
        <f aca="false">'Přehled o vybraných poplatcích'!C38</f>
        <v/>
      </c>
      <c r="D36" s="267"/>
      <c r="E36" s="267" t="str">
        <f aca="false">'Přehled o vybraných poplatcích'!E38</f>
        <v/>
      </c>
      <c r="F36" s="267" t="str">
        <f aca="false">IF(NOT(ISBLANK('Seznam účastníků'!B45)),D36-E36,"")</f>
        <v/>
      </c>
      <c r="G36" s="268"/>
    </row>
    <row r="37" customFormat="false" ht="12.75" hidden="false" customHeight="false" outlineLevel="0" collapsed="false">
      <c r="B37" s="266" t="str">
        <f aca="false">'Přehled o vybraných poplatcích'!B39</f>
        <v/>
      </c>
      <c r="C37" s="266" t="str">
        <f aca="false">'Přehled o vybraných poplatcích'!C39</f>
        <v/>
      </c>
      <c r="D37" s="267"/>
      <c r="E37" s="267" t="str">
        <f aca="false">'Přehled o vybraných poplatcích'!E39</f>
        <v/>
      </c>
      <c r="F37" s="267" t="str">
        <f aca="false">IF(NOT(ISBLANK('Seznam účastníků'!B46)),D37-E37,"")</f>
        <v/>
      </c>
      <c r="G37" s="268"/>
    </row>
    <row r="38" customFormat="false" ht="12.75" hidden="false" customHeight="false" outlineLevel="0" collapsed="false">
      <c r="B38" s="266" t="str">
        <f aca="false">'Přehled o vybraných poplatcích'!B40</f>
        <v/>
      </c>
      <c r="C38" s="266" t="str">
        <f aca="false">'Přehled o vybraných poplatcích'!C40</f>
        <v/>
      </c>
      <c r="D38" s="267"/>
      <c r="E38" s="267" t="str">
        <f aca="false">'Přehled o vybraných poplatcích'!E40</f>
        <v/>
      </c>
      <c r="F38" s="267" t="str">
        <f aca="false">IF(NOT(ISBLANK('Seznam účastníků'!B47)),D38-E38,"")</f>
        <v/>
      </c>
      <c r="G38" s="268"/>
    </row>
    <row r="39" customFormat="false" ht="12.75" hidden="false" customHeight="false" outlineLevel="0" collapsed="false">
      <c r="B39" s="266" t="str">
        <f aca="false">'Přehled o vybraných poplatcích'!B41</f>
        <v/>
      </c>
      <c r="C39" s="266" t="str">
        <f aca="false">'Přehled o vybraných poplatcích'!C41</f>
        <v/>
      </c>
      <c r="D39" s="267"/>
      <c r="E39" s="267" t="str">
        <f aca="false">'Přehled o vybraných poplatcích'!E41</f>
        <v/>
      </c>
      <c r="F39" s="267" t="str">
        <f aca="false">IF(NOT(ISBLANK('Seznam účastníků'!B48)),D39-E39,"")</f>
        <v/>
      </c>
      <c r="G39" s="268"/>
    </row>
    <row r="40" customFormat="false" ht="12.75" hidden="false" customHeight="false" outlineLevel="0" collapsed="false">
      <c r="B40" s="266" t="str">
        <f aca="false">'Přehled o vybraných poplatcích'!B42</f>
        <v/>
      </c>
      <c r="C40" s="266" t="str">
        <f aca="false">'Přehled o vybraných poplatcích'!C42</f>
        <v/>
      </c>
      <c r="D40" s="267"/>
      <c r="E40" s="267" t="str">
        <f aca="false">'Přehled o vybraných poplatcích'!E42</f>
        <v/>
      </c>
      <c r="F40" s="267" t="str">
        <f aca="false">IF(NOT(ISBLANK('Seznam účastníků'!B49)),D40-E40,"")</f>
        <v/>
      </c>
      <c r="G40" s="268"/>
    </row>
    <row r="41" customFormat="false" ht="12.75" hidden="false" customHeight="false" outlineLevel="0" collapsed="false">
      <c r="B41" s="266" t="str">
        <f aca="false">'Přehled o vybraných poplatcích'!B43</f>
        <v/>
      </c>
      <c r="C41" s="266" t="str">
        <f aca="false">'Přehled o vybraných poplatcích'!C43</f>
        <v/>
      </c>
      <c r="D41" s="267"/>
      <c r="E41" s="267" t="str">
        <f aca="false">'Přehled o vybraných poplatcích'!E43</f>
        <v/>
      </c>
      <c r="F41" s="267" t="str">
        <f aca="false">IF(NOT(ISBLANK('Seznam účastníků'!B50)),D41-E41,"")</f>
        <v/>
      </c>
      <c r="G41" s="268"/>
    </row>
    <row r="42" customFormat="false" ht="12.75" hidden="false" customHeight="false" outlineLevel="0" collapsed="false">
      <c r="B42" s="266" t="str">
        <f aca="false">'Přehled o vybraných poplatcích'!B44</f>
        <v/>
      </c>
      <c r="C42" s="266" t="str">
        <f aca="false">'Přehled o vybraných poplatcích'!C44</f>
        <v/>
      </c>
      <c r="D42" s="267"/>
      <c r="E42" s="267" t="str">
        <f aca="false">'Přehled o vybraných poplatcích'!E44</f>
        <v/>
      </c>
      <c r="F42" s="267" t="str">
        <f aca="false">IF(NOT(ISBLANK('Seznam účastníků'!B51)),D42-E42,"")</f>
        <v/>
      </c>
      <c r="G42" s="268"/>
    </row>
    <row r="43" customFormat="false" ht="12.75" hidden="false" customHeight="false" outlineLevel="0" collapsed="false">
      <c r="B43" s="266" t="str">
        <f aca="false">'Přehled o vybraných poplatcích'!B45</f>
        <v/>
      </c>
      <c r="C43" s="266" t="str">
        <f aca="false">'Přehled o vybraných poplatcích'!C45</f>
        <v/>
      </c>
      <c r="D43" s="267"/>
      <c r="E43" s="267" t="str">
        <f aca="false">'Přehled o vybraných poplatcích'!E45</f>
        <v/>
      </c>
      <c r="F43" s="267" t="str">
        <f aca="false">IF(NOT(ISBLANK('Seznam účastníků'!B52)),D43-E43,"")</f>
        <v/>
      </c>
      <c r="G43" s="268"/>
    </row>
    <row r="44" customFormat="false" ht="12.75" hidden="false" customHeight="false" outlineLevel="0" collapsed="false">
      <c r="B44" s="200"/>
      <c r="C44" s="215"/>
      <c r="D44" s="215"/>
      <c r="E44" s="215"/>
      <c r="F44" s="215"/>
      <c r="G44" s="200"/>
    </row>
    <row r="45" customFormat="false" ht="12.75" hidden="false" customHeight="false" outlineLevel="0" collapsed="false">
      <c r="B45" s="200"/>
      <c r="C45" s="200" t="s">
        <v>240</v>
      </c>
      <c r="D45" s="267" t="n">
        <f aca="false">SUM(D10:D43)</f>
        <v>0</v>
      </c>
      <c r="E45" s="267"/>
      <c r="F45" s="267" t="n">
        <f aca="false">SUM(F10:F43)</f>
        <v>0</v>
      </c>
      <c r="G45" s="200"/>
    </row>
    <row r="46" customFormat="false" ht="12.75" hidden="false" customHeight="false" outlineLevel="0" collapsed="false">
      <c r="B46" s="200"/>
      <c r="C46" s="200" t="s">
        <v>241</v>
      </c>
      <c r="D46" s="245" t="n">
        <f aca="false">D45-'Soupis výdajů'!D44</f>
        <v>0</v>
      </c>
      <c r="E46" s="200"/>
      <c r="F46" s="200"/>
      <c r="G46" s="200"/>
    </row>
    <row r="47" customFormat="false" ht="12.75" hidden="false" customHeight="false" outlineLevel="0" collapsed="false">
      <c r="B47" s="200"/>
      <c r="C47" s="200" t="s">
        <v>242</v>
      </c>
      <c r="D47" s="245"/>
      <c r="E47" s="200"/>
      <c r="F47" s="200"/>
      <c r="G47" s="200"/>
    </row>
    <row r="48" customFormat="false" ht="12.75" hidden="false" customHeight="false" outlineLevel="0" collapsed="false">
      <c r="D48" s="198" t="str">
        <f aca="false">IF(ISNUMBER(D47),IF(D46=D47,"SEDI","NESOUHLASI"),"")</f>
        <v/>
      </c>
    </row>
    <row r="50" customFormat="false" ht="12.75" hidden="false" customHeight="false" outlineLevel="0" collapsed="false">
      <c r="E50" s="236"/>
    </row>
    <row r="51" customFormat="false" ht="12.75" hidden="false" customHeight="false" outlineLevel="0" collapsed="false">
      <c r="E51" s="236"/>
    </row>
    <row r="52" customFormat="false" ht="12.75" hidden="false" customHeight="false" outlineLevel="0" collapsed="false">
      <c r="E52" s="236"/>
    </row>
    <row r="53" customFormat="false" ht="12.75" hidden="false" customHeight="false" outlineLevel="0" collapsed="false">
      <c r="E53" s="236"/>
    </row>
    <row r="54" customFormat="false" ht="12.75" hidden="false" customHeight="false" outlineLevel="0" collapsed="false">
      <c r="E54" s="210"/>
    </row>
    <row r="55" customFormat="false" ht="12.75" hidden="false" customHeight="false" outlineLevel="0" collapsed="false">
      <c r="D55" s="236"/>
    </row>
    <row r="65" customFormat="false" ht="12.75" hidden="false" customHeight="false" outlineLevel="0" collapsed="false">
      <c r="F65" s="236"/>
    </row>
  </sheetData>
  <sheetProtection sheet="true"/>
  <mergeCells count="4">
    <mergeCell ref="B4:C4"/>
    <mergeCell ref="B5:C5"/>
    <mergeCell ref="B6:C6"/>
    <mergeCell ref="B7:C7"/>
  </mergeCells>
  <printOptions headings="false" gridLines="false" gridLinesSet="true" horizontalCentered="false" verticalCentered="false"/>
  <pageMargins left="0.7" right="0.7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2018-12-23T16:52:23Z</dcterms:created>
  <dc:creator>Martin Kopeček</dc:creator>
  <dc:description/>
  <dc:language>en-US</dc:language>
  <cp:lastModifiedBy/>
  <dcterms:modified xsi:type="dcterms:W3CDTF">2026-09-01T21:13:24Z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